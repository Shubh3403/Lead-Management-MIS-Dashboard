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hubham\Downloads\Data analysis material\EXCEL NOTES\Project\"/>
    </mc:Choice>
  </mc:AlternateContent>
  <xr:revisionPtr revIDLastSave="0" documentId="13_ncr:1_{8F4DE51D-B579-4888-AC32-382C82C261A9}" xr6:coauthVersionLast="47" xr6:coauthVersionMax="47" xr10:uidLastSave="{00000000-0000-0000-0000-000000000000}"/>
  <bookViews>
    <workbookView xWindow="-108" yWindow="-108" windowWidth="23256" windowHeight="13176" tabRatio="797" activeTab="7" xr2:uid="{00000000-000D-0000-FFFF-FFFF00000000}"/>
  </bookViews>
  <sheets>
    <sheet name="Main Table" sheetId="26" r:id="rId1"/>
    <sheet name="KPI" sheetId="28" r:id="rId2"/>
    <sheet name="Lead Source Analysis" sheetId="29" r:id="rId3"/>
    <sheet name="Salesperson Performance" sheetId="6" r:id="rId4"/>
    <sheet name="Region-wise Performance" sheetId="7" r:id="rId5"/>
    <sheet name="Status Breakdown" sheetId="8" r:id="rId6"/>
    <sheet name="Monthly Trend" sheetId="31" r:id="rId7"/>
    <sheet name="Dashboard" sheetId="10" r:id="rId8"/>
  </sheets>
  <definedNames>
    <definedName name="_xlcn.WorksheetConnection_Lead_Management_MIS_Dataset.xlsxTable71" hidden="1">Table7</definedName>
    <definedName name="ExternalData_1" localSheetId="0" hidden="1">'Main Table'!$A$1:$K$501</definedName>
    <definedName name="Slicer_Region">#N/A</definedName>
    <definedName name="Slicer_Salesperson">#N/A</definedName>
    <definedName name="Slicer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 name="Table7" connection="WorksheetConnection_Lead_Management_MIS_Dataset.xlsx!Table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6" l="1"/>
  <c r="P2" i="26"/>
  <c r="N2" i="26"/>
  <c r="L2" i="26"/>
  <c r="M2" i="26"/>
  <c r="X8" i="10"/>
  <c r="S8" i="10"/>
  <c r="N8" i="10"/>
  <c r="I8" i="10"/>
  <c r="D8" i="10"/>
  <c r="O2" i="2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814012-62BD-405F-8DF2-52A4FACAEB4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C122057-08D4-46E6-9448-FB0B1F3BDF45}"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3" xr16:uid="{FAFDD943-DDCB-4DD5-8110-272EEBD63D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6382448-7F1B-4955-B3B3-1D600A97C36B}" name="WorksheetConnection_Lead_Management_MIS_Dataset.xlsx!Table7" type="102" refreshedVersion="8" minRefreshableVersion="5">
    <extLst>
      <ext xmlns:x15="http://schemas.microsoft.com/office/spreadsheetml/2010/11/main" uri="{DE250136-89BD-433C-8126-D09CA5730AF9}">
        <x15:connection id="Table7">
          <x15:rangePr sourceName="_xlcn.WorksheetConnection_Lead_Management_MIS_Dataset.xlsxTable71"/>
        </x15:connection>
      </ext>
    </extLst>
  </connection>
</connections>
</file>

<file path=xl/sharedStrings.xml><?xml version="1.0" encoding="utf-8"?>
<sst xmlns="http://schemas.openxmlformats.org/spreadsheetml/2006/main" count="3562" uniqueCount="647">
  <si>
    <t>Lead ID</t>
  </si>
  <si>
    <t>Date</t>
  </si>
  <si>
    <t>Lead Source</t>
  </si>
  <si>
    <t>Product</t>
  </si>
  <si>
    <t>Salesperson</t>
  </si>
  <si>
    <t>Status</t>
  </si>
  <si>
    <t>Deal Value</t>
  </si>
  <si>
    <t>Follow-up Date</t>
  </si>
  <si>
    <t>Region</t>
  </si>
  <si>
    <t>L001</t>
  </si>
  <si>
    <t>24-01-2026</t>
  </si>
  <si>
    <t>Website</t>
  </si>
  <si>
    <t>Laptop</t>
  </si>
  <si>
    <t>Sonal</t>
  </si>
  <si>
    <t>Won</t>
  </si>
  <si>
    <t>27-01-2026</t>
  </si>
  <si>
    <t>Pune</t>
  </si>
  <si>
    <t>L002</t>
  </si>
  <si>
    <t>03-01-2026</t>
  </si>
  <si>
    <t>Facebook</t>
  </si>
  <si>
    <t>Tablet</t>
  </si>
  <si>
    <t>Raj</t>
  </si>
  <si>
    <t>08-01-2026</t>
  </si>
  <si>
    <t>Nashik</t>
  </si>
  <si>
    <t>L003</t>
  </si>
  <si>
    <t>26-01-2026</t>
  </si>
  <si>
    <t>Accessories</t>
  </si>
  <si>
    <t>Amit</t>
  </si>
  <si>
    <t>Lost</t>
  </si>
  <si>
    <t>01-02-2026</t>
  </si>
  <si>
    <t>Nagpur</t>
  </si>
  <si>
    <t>L004</t>
  </si>
  <si>
    <t>05-03-2026</t>
  </si>
  <si>
    <t>Referral</t>
  </si>
  <si>
    <t>14-03-2026</t>
  </si>
  <si>
    <t>L005</t>
  </si>
  <si>
    <t>28-03-2026</t>
  </si>
  <si>
    <t>LinkedIn</t>
  </si>
  <si>
    <t>Mobile</t>
  </si>
  <si>
    <t>New</t>
  </si>
  <si>
    <t>07-04-2026</t>
  </si>
  <si>
    <t>Mumbai</t>
  </si>
  <si>
    <t>L006</t>
  </si>
  <si>
    <t>14-02-2026</t>
  </si>
  <si>
    <t>Neha</t>
  </si>
  <si>
    <t>23-02-2026</t>
  </si>
  <si>
    <t>L007</t>
  </si>
  <si>
    <t>06-02-2026</t>
  </si>
  <si>
    <t>13-02-2026</t>
  </si>
  <si>
    <t>L008</t>
  </si>
  <si>
    <t>19-02-2026</t>
  </si>
  <si>
    <t>24-02-2026</t>
  </si>
  <si>
    <t>L009</t>
  </si>
  <si>
    <t>08-03-2026</t>
  </si>
  <si>
    <t>11-03-2026</t>
  </si>
  <si>
    <t>L010</t>
  </si>
  <si>
    <t>13-03-2026</t>
  </si>
  <si>
    <t>16-03-2026</t>
  </si>
  <si>
    <t>L011</t>
  </si>
  <si>
    <t>28-01-2026</t>
  </si>
  <si>
    <t>Instagram</t>
  </si>
  <si>
    <t>Qualified</t>
  </si>
  <si>
    <t>05-02-2026</t>
  </si>
  <si>
    <t>L012</t>
  </si>
  <si>
    <t>07-03-2026</t>
  </si>
  <si>
    <t>12-03-2026</t>
  </si>
  <si>
    <t>L013</t>
  </si>
  <si>
    <t>30-03-2026</t>
  </si>
  <si>
    <t>09-04-2026</t>
  </si>
  <si>
    <t>L014</t>
  </si>
  <si>
    <t>23-03-2026</t>
  </si>
  <si>
    <t>L015</t>
  </si>
  <si>
    <t>01-04-2026</t>
  </si>
  <si>
    <t>11-04-2026</t>
  </si>
  <si>
    <t>L016</t>
  </si>
  <si>
    <t>04-03-2026</t>
  </si>
  <si>
    <t>L017</t>
  </si>
  <si>
    <t>12-02-2026</t>
  </si>
  <si>
    <t>L018</t>
  </si>
  <si>
    <t>23-01-2026</t>
  </si>
  <si>
    <t>L019</t>
  </si>
  <si>
    <t>25-01-2026</t>
  </si>
  <si>
    <t>31-01-2026</t>
  </si>
  <si>
    <t>L020</t>
  </si>
  <si>
    <t>06-03-2026</t>
  </si>
  <si>
    <t>L021</t>
  </si>
  <si>
    <t>19-03-2026</t>
  </si>
  <si>
    <t>L022</t>
  </si>
  <si>
    <t>07-01-2026</t>
  </si>
  <si>
    <t>L023</t>
  </si>
  <si>
    <t>07-02-2026</t>
  </si>
  <si>
    <t>09-02-2026</t>
  </si>
  <si>
    <t>L024</t>
  </si>
  <si>
    <t>21-02-2026</t>
  </si>
  <si>
    <t>03-03-2026</t>
  </si>
  <si>
    <t>L025</t>
  </si>
  <si>
    <t>27-02-2026</t>
  </si>
  <si>
    <t>L026</t>
  </si>
  <si>
    <t>21-03-2026</t>
  </si>
  <si>
    <t>26-03-2026</t>
  </si>
  <si>
    <t>L027</t>
  </si>
  <si>
    <t>29-03-2026</t>
  </si>
  <si>
    <t>L028</t>
  </si>
  <si>
    <t>L029</t>
  </si>
  <si>
    <t>L030</t>
  </si>
  <si>
    <t>L031</t>
  </si>
  <si>
    <t>03-02-2026</t>
  </si>
  <si>
    <t>L032</t>
  </si>
  <si>
    <t>L033</t>
  </si>
  <si>
    <t>L034</t>
  </si>
  <si>
    <t>25-03-2026</t>
  </si>
  <si>
    <t>L035</t>
  </si>
  <si>
    <t>15-03-2026</t>
  </si>
  <si>
    <t>L036</t>
  </si>
  <si>
    <t>L037</t>
  </si>
  <si>
    <t>L038</t>
  </si>
  <si>
    <t>20-03-2026</t>
  </si>
  <si>
    <t>L039</t>
  </si>
  <si>
    <t>L040</t>
  </si>
  <si>
    <t>02-03-2026</t>
  </si>
  <si>
    <t>L041</t>
  </si>
  <si>
    <t>L042</t>
  </si>
  <si>
    <t>17-02-2026</t>
  </si>
  <si>
    <t>L043</t>
  </si>
  <si>
    <t>L044</t>
  </si>
  <si>
    <t>L045</t>
  </si>
  <si>
    <t>20-02-2026</t>
  </si>
  <si>
    <t>01-03-2026</t>
  </si>
  <si>
    <t>L046</t>
  </si>
  <si>
    <t>02-02-2026</t>
  </si>
  <si>
    <t>08-02-2026</t>
  </si>
  <si>
    <t>L047</t>
  </si>
  <si>
    <t>18-03-2026</t>
  </si>
  <si>
    <t>L048</t>
  </si>
  <si>
    <t>10-02-2026</t>
  </si>
  <si>
    <t>L049</t>
  </si>
  <si>
    <t>14-01-2026</t>
  </si>
  <si>
    <t>15-01-2026</t>
  </si>
  <si>
    <t>L050</t>
  </si>
  <si>
    <t>L051</t>
  </si>
  <si>
    <t>16-01-2026</t>
  </si>
  <si>
    <t>18-01-2026</t>
  </si>
  <si>
    <t>L052</t>
  </si>
  <si>
    <t>L053</t>
  </si>
  <si>
    <t>L054</t>
  </si>
  <si>
    <t>L055</t>
  </si>
  <si>
    <t>L056</t>
  </si>
  <si>
    <t>L057</t>
  </si>
  <si>
    <t>L058</t>
  </si>
  <si>
    <t>L059</t>
  </si>
  <si>
    <t>L060</t>
  </si>
  <si>
    <t>26-02-2026</t>
  </si>
  <si>
    <t>L061</t>
  </si>
  <si>
    <t>17-01-2026</t>
  </si>
  <si>
    <t>L062</t>
  </si>
  <si>
    <t>11-01-2026</t>
  </si>
  <si>
    <t>12-01-2026</t>
  </si>
  <si>
    <t>L063</t>
  </si>
  <si>
    <t>L064</t>
  </si>
  <si>
    <t>L065</t>
  </si>
  <si>
    <t>25-02-2026</t>
  </si>
  <si>
    <t>L066</t>
  </si>
  <si>
    <t>L067</t>
  </si>
  <si>
    <t>L068</t>
  </si>
  <si>
    <t>22-03-2026</t>
  </si>
  <si>
    <t>L069</t>
  </si>
  <si>
    <t>04-02-2026</t>
  </si>
  <si>
    <t>L070</t>
  </si>
  <si>
    <t>22-02-2026</t>
  </si>
  <si>
    <t>L071</t>
  </si>
  <si>
    <t>06-01-2026</t>
  </si>
  <si>
    <t>L072</t>
  </si>
  <si>
    <t>L073</t>
  </si>
  <si>
    <t>05-01-2026</t>
  </si>
  <si>
    <t>L074</t>
  </si>
  <si>
    <t>L075</t>
  </si>
  <si>
    <t>L076</t>
  </si>
  <si>
    <t>L077</t>
  </si>
  <si>
    <t>L078</t>
  </si>
  <si>
    <t>21-01-2026</t>
  </si>
  <si>
    <t>L079</t>
  </si>
  <si>
    <t>L080</t>
  </si>
  <si>
    <t>L081</t>
  </si>
  <si>
    <t>06-04-2026</t>
  </si>
  <si>
    <t>L082</t>
  </si>
  <si>
    <t>16-02-2026</t>
  </si>
  <si>
    <t>L083</t>
  </si>
  <si>
    <t>L084</t>
  </si>
  <si>
    <t>L085</t>
  </si>
  <si>
    <t>L086</t>
  </si>
  <si>
    <t>15-02-2026</t>
  </si>
  <si>
    <t>L087</t>
  </si>
  <si>
    <t>10-03-2026</t>
  </si>
  <si>
    <t>L088</t>
  </si>
  <si>
    <t>L089</t>
  </si>
  <si>
    <t>09-01-2026</t>
  </si>
  <si>
    <t>L090</t>
  </si>
  <si>
    <t>L091</t>
  </si>
  <si>
    <t>11-02-2026</t>
  </si>
  <si>
    <t>L092</t>
  </si>
  <si>
    <t>L093</t>
  </si>
  <si>
    <t>L094</t>
  </si>
  <si>
    <t>19-01-2026</t>
  </si>
  <si>
    <t>29-01-2026</t>
  </si>
  <si>
    <t>L095</t>
  </si>
  <si>
    <t>L096</t>
  </si>
  <si>
    <t>L097</t>
  </si>
  <si>
    <t>L098</t>
  </si>
  <si>
    <t>L099</t>
  </si>
  <si>
    <t>31-03-2026</t>
  </si>
  <si>
    <t>L100</t>
  </si>
  <si>
    <t>L101</t>
  </si>
  <si>
    <t>L102</t>
  </si>
  <si>
    <t>03-04-2026</t>
  </si>
  <si>
    <t>L103</t>
  </si>
  <si>
    <t>L104</t>
  </si>
  <si>
    <t>L105</t>
  </si>
  <si>
    <t>L106</t>
  </si>
  <si>
    <t>L107</t>
  </si>
  <si>
    <t>13-01-2026</t>
  </si>
  <si>
    <t>L108</t>
  </si>
  <si>
    <t>27-03-2026</t>
  </si>
  <si>
    <t>L109</t>
  </si>
  <si>
    <t>L110</t>
  </si>
  <si>
    <t>20-01-2026</t>
  </si>
  <si>
    <t>L111</t>
  </si>
  <si>
    <t>L112</t>
  </si>
  <si>
    <t>L113</t>
  </si>
  <si>
    <t>L114</t>
  </si>
  <si>
    <t>22-01-2026</t>
  </si>
  <si>
    <t>L115</t>
  </si>
  <si>
    <t>L116</t>
  </si>
  <si>
    <t>L117</t>
  </si>
  <si>
    <t>17-03-2026</t>
  </si>
  <si>
    <t>L118</t>
  </si>
  <si>
    <t>L119</t>
  </si>
  <si>
    <t>L120</t>
  </si>
  <si>
    <t>L121</t>
  </si>
  <si>
    <t>02-01-2026</t>
  </si>
  <si>
    <t>L122</t>
  </si>
  <si>
    <t>28-02-2026</t>
  </si>
  <si>
    <t>L123</t>
  </si>
  <si>
    <t>L124</t>
  </si>
  <si>
    <t>L125</t>
  </si>
  <si>
    <t>L126</t>
  </si>
  <si>
    <t>L127</t>
  </si>
  <si>
    <t>L128</t>
  </si>
  <si>
    <t>L129</t>
  </si>
  <si>
    <t>L130</t>
  </si>
  <si>
    <t>L131</t>
  </si>
  <si>
    <t>18-02-2026</t>
  </si>
  <si>
    <t>L132</t>
  </si>
  <si>
    <t>L133</t>
  </si>
  <si>
    <t>L134</t>
  </si>
  <si>
    <t>L135</t>
  </si>
  <si>
    <t>L136</t>
  </si>
  <si>
    <t>L137</t>
  </si>
  <si>
    <t>L138</t>
  </si>
  <si>
    <t>L139</t>
  </si>
  <si>
    <t>L140</t>
  </si>
  <si>
    <t>L141</t>
  </si>
  <si>
    <t>L142</t>
  </si>
  <si>
    <t>02-04-2026</t>
  </si>
  <si>
    <t>L143</t>
  </si>
  <si>
    <t>L144</t>
  </si>
  <si>
    <t>L145</t>
  </si>
  <si>
    <t>L146</t>
  </si>
  <si>
    <t>L147</t>
  </si>
  <si>
    <t>04-04-2026</t>
  </si>
  <si>
    <t>L148</t>
  </si>
  <si>
    <t>L149</t>
  </si>
  <si>
    <t>L150</t>
  </si>
  <si>
    <t>L151</t>
  </si>
  <si>
    <t>L152</t>
  </si>
  <si>
    <t>L153</t>
  </si>
  <si>
    <t>L154</t>
  </si>
  <si>
    <t>L155</t>
  </si>
  <si>
    <t>L156</t>
  </si>
  <si>
    <t>L157</t>
  </si>
  <si>
    <t>L158</t>
  </si>
  <si>
    <t>L159</t>
  </si>
  <si>
    <t>L160</t>
  </si>
  <si>
    <t>L161</t>
  </si>
  <si>
    <t>L162</t>
  </si>
  <si>
    <t>L163</t>
  </si>
  <si>
    <t>L164</t>
  </si>
  <si>
    <t>L165</t>
  </si>
  <si>
    <t>L166</t>
  </si>
  <si>
    <t>L167</t>
  </si>
  <si>
    <t>L168</t>
  </si>
  <si>
    <t>L169</t>
  </si>
  <si>
    <t>L170</t>
  </si>
  <si>
    <t>L171</t>
  </si>
  <si>
    <t>L172</t>
  </si>
  <si>
    <t>L173</t>
  </si>
  <si>
    <t>L174</t>
  </si>
  <si>
    <t>L175</t>
  </si>
  <si>
    <t>10-01-2026</t>
  </si>
  <si>
    <t>L176</t>
  </si>
  <si>
    <t>L177</t>
  </si>
  <si>
    <t>L178</t>
  </si>
  <si>
    <t>L179</t>
  </si>
  <si>
    <t>L180</t>
  </si>
  <si>
    <t>L181</t>
  </si>
  <si>
    <t>L182</t>
  </si>
  <si>
    <t>L183</t>
  </si>
  <si>
    <t>L184</t>
  </si>
  <si>
    <t>L185</t>
  </si>
  <si>
    <t>L186</t>
  </si>
  <si>
    <t>L187</t>
  </si>
  <si>
    <t>L188</t>
  </si>
  <si>
    <t>L189</t>
  </si>
  <si>
    <t>L190</t>
  </si>
  <si>
    <t>L191</t>
  </si>
  <si>
    <t>L192</t>
  </si>
  <si>
    <t>L193</t>
  </si>
  <si>
    <t>L194</t>
  </si>
  <si>
    <t>L195</t>
  </si>
  <si>
    <t>L196</t>
  </si>
  <si>
    <t>L197</t>
  </si>
  <si>
    <t>L198</t>
  </si>
  <si>
    <t>L199</t>
  </si>
  <si>
    <t>L200</t>
  </si>
  <si>
    <t>L201</t>
  </si>
  <si>
    <t>L202</t>
  </si>
  <si>
    <t>09-03-2026</t>
  </si>
  <si>
    <t>L203</t>
  </si>
  <si>
    <t>L204</t>
  </si>
  <si>
    <t>L205</t>
  </si>
  <si>
    <t>L206</t>
  </si>
  <si>
    <t>L207</t>
  </si>
  <si>
    <t>L208</t>
  </si>
  <si>
    <t>24-03-2026</t>
  </si>
  <si>
    <t>L209</t>
  </si>
  <si>
    <t>L210</t>
  </si>
  <si>
    <t>L211</t>
  </si>
  <si>
    <t>L212</t>
  </si>
  <si>
    <t>L213</t>
  </si>
  <si>
    <t>L214</t>
  </si>
  <si>
    <t>L215</t>
  </si>
  <si>
    <t>L216</t>
  </si>
  <si>
    <t>L217</t>
  </si>
  <si>
    <t>L218</t>
  </si>
  <si>
    <t>L219</t>
  </si>
  <si>
    <t>L220</t>
  </si>
  <si>
    <t>L221</t>
  </si>
  <si>
    <t>L222</t>
  </si>
  <si>
    <t>L223</t>
  </si>
  <si>
    <t>L224</t>
  </si>
  <si>
    <t>L225</t>
  </si>
  <si>
    <t>L226</t>
  </si>
  <si>
    <t>L227</t>
  </si>
  <si>
    <t>L228</t>
  </si>
  <si>
    <t>L229</t>
  </si>
  <si>
    <t>L230</t>
  </si>
  <si>
    <t>L231</t>
  </si>
  <si>
    <t>L232</t>
  </si>
  <si>
    <t>L233</t>
  </si>
  <si>
    <t>L234</t>
  </si>
  <si>
    <t>L235</t>
  </si>
  <si>
    <t>L236</t>
  </si>
  <si>
    <t>04-01-2026</t>
  </si>
  <si>
    <t>L237</t>
  </si>
  <si>
    <t>L238</t>
  </si>
  <si>
    <t>L239</t>
  </si>
  <si>
    <t>L240</t>
  </si>
  <si>
    <t>L241</t>
  </si>
  <si>
    <t>L242</t>
  </si>
  <si>
    <t>L243</t>
  </si>
  <si>
    <t>L244</t>
  </si>
  <si>
    <t>L245</t>
  </si>
  <si>
    <t>L246</t>
  </si>
  <si>
    <t>L247</t>
  </si>
  <si>
    <t>L248</t>
  </si>
  <si>
    <t>L249</t>
  </si>
  <si>
    <t>L250</t>
  </si>
  <si>
    <t>L251</t>
  </si>
  <si>
    <t>L252</t>
  </si>
  <si>
    <t>L253</t>
  </si>
  <si>
    <t>L254</t>
  </si>
  <si>
    <t>L255</t>
  </si>
  <si>
    <t>L256</t>
  </si>
  <si>
    <t>L257</t>
  </si>
  <si>
    <t>L258</t>
  </si>
  <si>
    <t>L259</t>
  </si>
  <si>
    <t>L260</t>
  </si>
  <si>
    <t>L261</t>
  </si>
  <si>
    <t>L262</t>
  </si>
  <si>
    <t>L263</t>
  </si>
  <si>
    <t>L264</t>
  </si>
  <si>
    <t>L265</t>
  </si>
  <si>
    <t>L266</t>
  </si>
  <si>
    <t>L267</t>
  </si>
  <si>
    <t>L268</t>
  </si>
  <si>
    <t>L269</t>
  </si>
  <si>
    <t>L270</t>
  </si>
  <si>
    <t>L271</t>
  </si>
  <si>
    <t>L272</t>
  </si>
  <si>
    <t>L273</t>
  </si>
  <si>
    <t>L274</t>
  </si>
  <si>
    <t>L275</t>
  </si>
  <si>
    <t>L276</t>
  </si>
  <si>
    <t>L277</t>
  </si>
  <si>
    <t>L278</t>
  </si>
  <si>
    <t>L279</t>
  </si>
  <si>
    <t>L280</t>
  </si>
  <si>
    <t>L281</t>
  </si>
  <si>
    <t>L282</t>
  </si>
  <si>
    <t>L283</t>
  </si>
  <si>
    <t>L284</t>
  </si>
  <si>
    <t>L285</t>
  </si>
  <si>
    <t>L286</t>
  </si>
  <si>
    <t>L287</t>
  </si>
  <si>
    <t>L288</t>
  </si>
  <si>
    <t>L289</t>
  </si>
  <si>
    <t>L290</t>
  </si>
  <si>
    <t>L291</t>
  </si>
  <si>
    <t>L292</t>
  </si>
  <si>
    <t>L293</t>
  </si>
  <si>
    <t>L294</t>
  </si>
  <si>
    <t>L295</t>
  </si>
  <si>
    <t>L296</t>
  </si>
  <si>
    <t>L297</t>
  </si>
  <si>
    <t>L298</t>
  </si>
  <si>
    <t>L299</t>
  </si>
  <si>
    <t>L300</t>
  </si>
  <si>
    <t>L301</t>
  </si>
  <si>
    <t>L302</t>
  </si>
  <si>
    <t>L303</t>
  </si>
  <si>
    <t>L304</t>
  </si>
  <si>
    <t>L305</t>
  </si>
  <si>
    <t>L306</t>
  </si>
  <si>
    <t>L307</t>
  </si>
  <si>
    <t>L308</t>
  </si>
  <si>
    <t>L309</t>
  </si>
  <si>
    <t>L310</t>
  </si>
  <si>
    <t>L311</t>
  </si>
  <si>
    <t>L312</t>
  </si>
  <si>
    <t>L313</t>
  </si>
  <si>
    <t>L314</t>
  </si>
  <si>
    <t>L315</t>
  </si>
  <si>
    <t>L316</t>
  </si>
  <si>
    <t>L317</t>
  </si>
  <si>
    <t>L318</t>
  </si>
  <si>
    <t>L319</t>
  </si>
  <si>
    <t>L320</t>
  </si>
  <si>
    <t>L321</t>
  </si>
  <si>
    <t>L322</t>
  </si>
  <si>
    <t>L323</t>
  </si>
  <si>
    <t>L324</t>
  </si>
  <si>
    <t>L325</t>
  </si>
  <si>
    <t>L326</t>
  </si>
  <si>
    <t>L327</t>
  </si>
  <si>
    <t>L328</t>
  </si>
  <si>
    <t>L329</t>
  </si>
  <si>
    <t>L330</t>
  </si>
  <si>
    <t>L331</t>
  </si>
  <si>
    <t>L332</t>
  </si>
  <si>
    <t>L333</t>
  </si>
  <si>
    <t>L334</t>
  </si>
  <si>
    <t>L335</t>
  </si>
  <si>
    <t>L336</t>
  </si>
  <si>
    <t>L337</t>
  </si>
  <si>
    <t>L338</t>
  </si>
  <si>
    <t>L339</t>
  </si>
  <si>
    <t>L340</t>
  </si>
  <si>
    <t>L341</t>
  </si>
  <si>
    <t>L342</t>
  </si>
  <si>
    <t>L343</t>
  </si>
  <si>
    <t>08-04-2026</t>
  </si>
  <si>
    <t>L344</t>
  </si>
  <si>
    <t>L345</t>
  </si>
  <si>
    <t>L346</t>
  </si>
  <si>
    <t>L347</t>
  </si>
  <si>
    <t>L348</t>
  </si>
  <si>
    <t>L349</t>
  </si>
  <si>
    <t>L350</t>
  </si>
  <si>
    <t>L351</t>
  </si>
  <si>
    <t>L352</t>
  </si>
  <si>
    <t>L353</t>
  </si>
  <si>
    <t>L354</t>
  </si>
  <si>
    <t>L355</t>
  </si>
  <si>
    <t>L356</t>
  </si>
  <si>
    <t>L357</t>
  </si>
  <si>
    <t>L358</t>
  </si>
  <si>
    <t>L359</t>
  </si>
  <si>
    <t>L360</t>
  </si>
  <si>
    <t>L361</t>
  </si>
  <si>
    <t>L362</t>
  </si>
  <si>
    <t>L363</t>
  </si>
  <si>
    <t>L364</t>
  </si>
  <si>
    <t>L365</t>
  </si>
  <si>
    <t>L366</t>
  </si>
  <si>
    <t>L367</t>
  </si>
  <si>
    <t>L368</t>
  </si>
  <si>
    <t>L369</t>
  </si>
  <si>
    <t>L370</t>
  </si>
  <si>
    <t>L371</t>
  </si>
  <si>
    <t>L372</t>
  </si>
  <si>
    <t>L373</t>
  </si>
  <si>
    <t>L374</t>
  </si>
  <si>
    <t>L375</t>
  </si>
  <si>
    <t>L376</t>
  </si>
  <si>
    <t>L377</t>
  </si>
  <si>
    <t>L378</t>
  </si>
  <si>
    <t>L379</t>
  </si>
  <si>
    <t>L380</t>
  </si>
  <si>
    <t>L381</t>
  </si>
  <si>
    <t>L382</t>
  </si>
  <si>
    <t>L383</t>
  </si>
  <si>
    <t>L384</t>
  </si>
  <si>
    <t>L385</t>
  </si>
  <si>
    <t>L386</t>
  </si>
  <si>
    <t>L387</t>
  </si>
  <si>
    <t>L388</t>
  </si>
  <si>
    <t>L389</t>
  </si>
  <si>
    <t>L390</t>
  </si>
  <si>
    <t>L391</t>
  </si>
  <si>
    <t>L392</t>
  </si>
  <si>
    <t>L393</t>
  </si>
  <si>
    <t>L394</t>
  </si>
  <si>
    <t>L395</t>
  </si>
  <si>
    <t>L396</t>
  </si>
  <si>
    <t>L397</t>
  </si>
  <si>
    <t>L398</t>
  </si>
  <si>
    <t>L399</t>
  </si>
  <si>
    <t>L400</t>
  </si>
  <si>
    <t>L401</t>
  </si>
  <si>
    <t>L402</t>
  </si>
  <si>
    <t>L403</t>
  </si>
  <si>
    <t>L404</t>
  </si>
  <si>
    <t>L405</t>
  </si>
  <si>
    <t>L406</t>
  </si>
  <si>
    <t>L407</t>
  </si>
  <si>
    <t>L408</t>
  </si>
  <si>
    <t>L409</t>
  </si>
  <si>
    <t>L410</t>
  </si>
  <si>
    <t>L411</t>
  </si>
  <si>
    <t>L412</t>
  </si>
  <si>
    <t>L413</t>
  </si>
  <si>
    <t>L414</t>
  </si>
  <si>
    <t>L415</t>
  </si>
  <si>
    <t>L416</t>
  </si>
  <si>
    <t>L417</t>
  </si>
  <si>
    <t>L418</t>
  </si>
  <si>
    <t>L419</t>
  </si>
  <si>
    <t>L420</t>
  </si>
  <si>
    <t>L421</t>
  </si>
  <si>
    <t>L422</t>
  </si>
  <si>
    <t>L423</t>
  </si>
  <si>
    <t>L424</t>
  </si>
  <si>
    <t>L425</t>
  </si>
  <si>
    <t>L426</t>
  </si>
  <si>
    <t>L427</t>
  </si>
  <si>
    <t>L428</t>
  </si>
  <si>
    <t>L429</t>
  </si>
  <si>
    <t>L430</t>
  </si>
  <si>
    <t>L431</t>
  </si>
  <si>
    <t>L432</t>
  </si>
  <si>
    <t>L433</t>
  </si>
  <si>
    <t>L434</t>
  </si>
  <si>
    <t>L435</t>
  </si>
  <si>
    <t>L436</t>
  </si>
  <si>
    <t>L437</t>
  </si>
  <si>
    <t>L438</t>
  </si>
  <si>
    <t>L439</t>
  </si>
  <si>
    <t>L440</t>
  </si>
  <si>
    <t>L441</t>
  </si>
  <si>
    <t>L442</t>
  </si>
  <si>
    <t>L443</t>
  </si>
  <si>
    <t>L444</t>
  </si>
  <si>
    <t>L445</t>
  </si>
  <si>
    <t>L446</t>
  </si>
  <si>
    <t>L447</t>
  </si>
  <si>
    <t>L448</t>
  </si>
  <si>
    <t>L449</t>
  </si>
  <si>
    <t>L450</t>
  </si>
  <si>
    <t>L451</t>
  </si>
  <si>
    <t>L452</t>
  </si>
  <si>
    <t>L453</t>
  </si>
  <si>
    <t>L454</t>
  </si>
  <si>
    <t>L455</t>
  </si>
  <si>
    <t>L456</t>
  </si>
  <si>
    <t>L457</t>
  </si>
  <si>
    <t>L458</t>
  </si>
  <si>
    <t>L459</t>
  </si>
  <si>
    <t>L460</t>
  </si>
  <si>
    <t>L461</t>
  </si>
  <si>
    <t>L462</t>
  </si>
  <si>
    <t>L463</t>
  </si>
  <si>
    <t>L464</t>
  </si>
  <si>
    <t>L465</t>
  </si>
  <si>
    <t>L466</t>
  </si>
  <si>
    <t>L467</t>
  </si>
  <si>
    <t>L468</t>
  </si>
  <si>
    <t>L469</t>
  </si>
  <si>
    <t>L470</t>
  </si>
  <si>
    <t>L471</t>
  </si>
  <si>
    <t>L472</t>
  </si>
  <si>
    <t>L473</t>
  </si>
  <si>
    <t>L474</t>
  </si>
  <si>
    <t>L475</t>
  </si>
  <si>
    <t>L476</t>
  </si>
  <si>
    <t>L477</t>
  </si>
  <si>
    <t>L478</t>
  </si>
  <si>
    <t>L479</t>
  </si>
  <si>
    <t>L480</t>
  </si>
  <si>
    <t>L481</t>
  </si>
  <si>
    <t>L482</t>
  </si>
  <si>
    <t>L483</t>
  </si>
  <si>
    <t>L484</t>
  </si>
  <si>
    <t>L485</t>
  </si>
  <si>
    <t>L486</t>
  </si>
  <si>
    <t>L487</t>
  </si>
  <si>
    <t>L488</t>
  </si>
  <si>
    <t>L489</t>
  </si>
  <si>
    <t>L490</t>
  </si>
  <si>
    <t>L491</t>
  </si>
  <si>
    <t>L492</t>
  </si>
  <si>
    <t>L493</t>
  </si>
  <si>
    <t>L494</t>
  </si>
  <si>
    <t>L495</t>
  </si>
  <si>
    <t>L496</t>
  </si>
  <si>
    <t>L497</t>
  </si>
  <si>
    <t>L498</t>
  </si>
  <si>
    <t>L499</t>
  </si>
  <si>
    <t>L500</t>
  </si>
  <si>
    <t>Total Leads</t>
  </si>
  <si>
    <t>Converted Leads</t>
  </si>
  <si>
    <t>Converted</t>
  </si>
  <si>
    <t>Lost Leads</t>
  </si>
  <si>
    <t>Conversion Rate</t>
  </si>
  <si>
    <t>Total Revenue</t>
  </si>
  <si>
    <t>Average Deal Size</t>
  </si>
  <si>
    <t>Row Labels</t>
  </si>
  <si>
    <t>Grand Total</t>
  </si>
  <si>
    <t>(blank)</t>
  </si>
  <si>
    <t>Sum of Total Leads</t>
  </si>
  <si>
    <t>Count of Status</t>
  </si>
  <si>
    <t>Sum of Deal Value</t>
  </si>
  <si>
    <t>Count of Lead ID</t>
  </si>
  <si>
    <t>Month</t>
  </si>
  <si>
    <t>Year</t>
  </si>
  <si>
    <t>Sum of Converted Leads</t>
  </si>
  <si>
    <t>Sum of Conversion Rate</t>
  </si>
  <si>
    <t>Sum of Total Revenue</t>
  </si>
  <si>
    <t>Sum of Average Deal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</si>
</sst>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font>
    <font>
      <b/>
      <sz val="12"/>
      <color theme="1"/>
      <name val="Calibri"/>
      <family val="2"/>
    </font>
    <font>
      <sz val="11"/>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6" tint="0.79998168889431442"/>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1" fillId="2" borderId="1" xfId="0" applyNumberFormat="1" applyFont="1" applyFill="1" applyBorder="1"/>
    <xf numFmtId="1" fontId="2" fillId="0" borderId="2" xfId="0" applyNumberFormat="1" applyFont="1" applyBorder="1"/>
    <xf numFmtId="9" fontId="2" fillId="0" borderId="2" xfId="1" applyFont="1" applyBorder="1"/>
    <xf numFmtId="0" fontId="0" fillId="0" borderId="3" xfId="0" applyBorder="1"/>
    <xf numFmtId="0" fontId="0" fillId="3" borderId="3" xfId="0" applyFill="1" applyBorder="1"/>
    <xf numFmtId="0" fontId="0" fillId="0" borderId="0" xfId="0" applyNumberFormat="1"/>
    <xf numFmtId="0" fontId="0" fillId="4" borderId="0" xfId="0" applyFill="1"/>
    <xf numFmtId="1" fontId="4" fillId="4" borderId="0" xfId="0" applyNumberFormat="1" applyFont="1" applyFill="1"/>
    <xf numFmtId="1" fontId="4" fillId="4" borderId="0" xfId="0" applyNumberFormat="1" applyFont="1" applyFill="1" applyAlignment="1">
      <alignment horizontal="center"/>
    </xf>
    <xf numFmtId="0" fontId="4" fillId="4" borderId="0" xfId="0" applyFont="1" applyFill="1" applyAlignment="1">
      <alignment horizontal="center"/>
    </xf>
    <xf numFmtId="9" fontId="4" fillId="4" borderId="0" xfId="1" applyFont="1" applyFill="1" applyAlignment="1">
      <alignment horizontal="center"/>
    </xf>
  </cellXfs>
  <cellStyles count="2">
    <cellStyle name="Normal" xfId="0" builtinId="0"/>
    <cellStyle name="Percent" xfId="1" builtinId="5"/>
  </cellStyles>
  <dxfs count="47">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none"/>
      </font>
      <numFmt numFmtId="1" formatCode="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numFmt numFmtId="1" formatCode="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numFmt numFmtId="1" formatCode="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numFmt numFmtId="1" formatCode="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numFmt numFmtId="1" formatCode="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EE48A7"/>
      <color rgb="FFD21482"/>
      <color rgb="FFD60093"/>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[Lead_Management_MIS_Dataset.xlsx]Lead Source 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Lead</a:t>
            </a:r>
            <a:r>
              <a:rPr lang="en-IN" baseline="0"/>
              <a:t> Source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'Lead Source Analysis'!$B$3</c:f>
              <c:strCache>
                <c:ptCount val="1"/>
                <c:pt idx="0">
                  <c:v>Total</c:v>
                </c:pt>
              </c:strCache>
            </c:strRef>
          </c:tx>
          <c:spPr>
            <a:solidFill>
              <a:schemeClr val="accent1"/>
            </a:solidFill>
            <a:ln>
              <a:noFill/>
            </a:ln>
            <a:effectLst/>
          </c:spPr>
          <c:invertIfNegative val="0"/>
          <c:cat>
            <c:strRef>
              <c:f>'Lead Source Analysis'!$A$4:$A$10</c:f>
              <c:strCache>
                <c:ptCount val="6"/>
                <c:pt idx="0">
                  <c:v>Facebook</c:v>
                </c:pt>
                <c:pt idx="1">
                  <c:v>Instagram</c:v>
                </c:pt>
                <c:pt idx="2">
                  <c:v>LinkedIn</c:v>
                </c:pt>
                <c:pt idx="3">
                  <c:v>Referral</c:v>
                </c:pt>
                <c:pt idx="4">
                  <c:v>Website</c:v>
                </c:pt>
                <c:pt idx="5">
                  <c:v>(blank)</c:v>
                </c:pt>
              </c:strCache>
            </c:strRef>
          </c:cat>
          <c:val>
            <c:numRef>
              <c:f>'Lead Source Analysis'!$B$4:$B$10</c:f>
              <c:numCache>
                <c:formatCode>General</c:formatCode>
                <c:ptCount val="6"/>
                <c:pt idx="0">
                  <c:v>113</c:v>
                </c:pt>
                <c:pt idx="1">
                  <c:v>93</c:v>
                </c:pt>
                <c:pt idx="2">
                  <c:v>108</c:v>
                </c:pt>
                <c:pt idx="3">
                  <c:v>88</c:v>
                </c:pt>
                <c:pt idx="4">
                  <c:v>98</c:v>
                </c:pt>
              </c:numCache>
            </c:numRef>
          </c:val>
          <c:extLst>
            <c:ext xmlns:c16="http://schemas.microsoft.com/office/drawing/2014/chart" uri="{C3380CC4-5D6E-409C-BE32-E72D297353CC}">
              <c16:uniqueId val="{00000000-D60B-41C3-B8B5-EB401A9C6F6F}"/>
            </c:ext>
          </c:extLst>
        </c:ser>
        <c:dLbls>
          <c:showLegendKey val="0"/>
          <c:showVal val="0"/>
          <c:showCatName val="0"/>
          <c:showSerName val="0"/>
          <c:showPercent val="0"/>
          <c:showBubbleSize val="0"/>
        </c:dLbls>
        <c:gapWidth val="182"/>
        <c:axId val="1598949360"/>
        <c:axId val="1598959920"/>
      </c:barChart>
      <c:catAx>
        <c:axId val="159894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59920"/>
        <c:crosses val="autoZero"/>
        <c:auto val="1"/>
        <c:lblAlgn val="ctr"/>
        <c:lblOffset val="100"/>
        <c:noMultiLvlLbl val="0"/>
      </c:catAx>
      <c:valAx>
        <c:axId val="159895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4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[Lead_Management_MIS_Dataset.xlsx]Salesperson Performance!PivotTable17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Performance'!$B$3</c:f>
              <c:strCache>
                <c:ptCount val="1"/>
                <c:pt idx="0">
                  <c:v>Count of Lead ID</c:v>
                </c:pt>
              </c:strCache>
            </c:strRef>
          </c:tx>
          <c:spPr>
            <a:solidFill>
              <a:schemeClr val="accent1"/>
            </a:solidFill>
            <a:ln>
              <a:noFill/>
            </a:ln>
            <a:effectLst/>
          </c:spPr>
          <c:invertIfNegative val="0"/>
          <c:cat>
            <c:strRef>
              <c:f>'Salesperson Performance'!$A$4:$A$9</c:f>
              <c:strCache>
                <c:ptCount val="5"/>
                <c:pt idx="0">
                  <c:v>Amit</c:v>
                </c:pt>
                <c:pt idx="1">
                  <c:v>Neha</c:v>
                </c:pt>
                <c:pt idx="2">
                  <c:v>Raj</c:v>
                </c:pt>
                <c:pt idx="3">
                  <c:v>Sonal</c:v>
                </c:pt>
                <c:pt idx="4">
                  <c:v>(blank)</c:v>
                </c:pt>
              </c:strCache>
            </c:strRef>
          </c:cat>
          <c:val>
            <c:numRef>
              <c:f>'Salesperson Performance'!$B$4:$B$9</c:f>
              <c:numCache>
                <c:formatCode>General</c:formatCode>
                <c:ptCount val="5"/>
                <c:pt idx="0">
                  <c:v>121</c:v>
                </c:pt>
                <c:pt idx="1">
                  <c:v>125</c:v>
                </c:pt>
                <c:pt idx="2">
                  <c:v>138</c:v>
                </c:pt>
                <c:pt idx="3">
                  <c:v>116</c:v>
                </c:pt>
              </c:numCache>
            </c:numRef>
          </c:val>
          <c:extLst>
            <c:ext xmlns:c16="http://schemas.microsoft.com/office/drawing/2014/chart" uri="{C3380CC4-5D6E-409C-BE32-E72D297353CC}">
              <c16:uniqueId val="{00000000-A6B7-4856-9893-2D9B6BDA21BF}"/>
            </c:ext>
          </c:extLst>
        </c:ser>
        <c:ser>
          <c:idx val="1"/>
          <c:order val="1"/>
          <c:tx>
            <c:strRef>
              <c:f>'Salesperson Performance'!$C$3</c:f>
              <c:strCache>
                <c:ptCount val="1"/>
                <c:pt idx="0">
                  <c:v>Sum of Deal Value</c:v>
                </c:pt>
              </c:strCache>
            </c:strRef>
          </c:tx>
          <c:spPr>
            <a:solidFill>
              <a:schemeClr val="accent2"/>
            </a:solidFill>
            <a:ln>
              <a:noFill/>
            </a:ln>
            <a:effectLst/>
          </c:spPr>
          <c:invertIfNegative val="0"/>
          <c:cat>
            <c:strRef>
              <c:f>'Salesperson Performance'!$A$4:$A$9</c:f>
              <c:strCache>
                <c:ptCount val="5"/>
                <c:pt idx="0">
                  <c:v>Amit</c:v>
                </c:pt>
                <c:pt idx="1">
                  <c:v>Neha</c:v>
                </c:pt>
                <c:pt idx="2">
                  <c:v>Raj</c:v>
                </c:pt>
                <c:pt idx="3">
                  <c:v>Sonal</c:v>
                </c:pt>
                <c:pt idx="4">
                  <c:v>(blank)</c:v>
                </c:pt>
              </c:strCache>
            </c:strRef>
          </c:cat>
          <c:val>
            <c:numRef>
              <c:f>'Salesperson Performance'!$C$4:$C$9</c:f>
              <c:numCache>
                <c:formatCode>General</c:formatCode>
                <c:ptCount val="5"/>
                <c:pt idx="0">
                  <c:v>5033705</c:v>
                </c:pt>
                <c:pt idx="1">
                  <c:v>5282321</c:v>
                </c:pt>
                <c:pt idx="2">
                  <c:v>5504462</c:v>
                </c:pt>
                <c:pt idx="3">
                  <c:v>5365391</c:v>
                </c:pt>
              </c:numCache>
            </c:numRef>
          </c:val>
          <c:extLst>
            <c:ext xmlns:c16="http://schemas.microsoft.com/office/drawing/2014/chart" uri="{C3380CC4-5D6E-409C-BE32-E72D297353CC}">
              <c16:uniqueId val="{00000001-A6B7-4856-9893-2D9B6BDA21BF}"/>
            </c:ext>
          </c:extLst>
        </c:ser>
        <c:dLbls>
          <c:showLegendKey val="0"/>
          <c:showVal val="0"/>
          <c:showCatName val="0"/>
          <c:showSerName val="0"/>
          <c:showPercent val="0"/>
          <c:showBubbleSize val="0"/>
        </c:dLbls>
        <c:gapWidth val="219"/>
        <c:overlap val="-27"/>
        <c:axId val="1437005536"/>
        <c:axId val="1628830000"/>
      </c:barChart>
      <c:catAx>
        <c:axId val="14370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30000"/>
        <c:crosses val="autoZero"/>
        <c:auto val="1"/>
        <c:lblAlgn val="ctr"/>
        <c:lblOffset val="100"/>
        <c:noMultiLvlLbl val="0"/>
      </c:catAx>
      <c:valAx>
        <c:axId val="162883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0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[Lead_Management_MIS_Dataset.xlsx]Region-wise Performance!PivotTable19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'Region-wise Performance'!$B$2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E5-446E-B260-94F6FE33A6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E5-446E-B260-94F6FE33A6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E5-446E-B260-94F6FE33A6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E5-446E-B260-94F6FE33A6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E5-446E-B260-94F6FE33A6D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'Region-wise Performance'!$A$3:$A$8</c:f>
              <c:strCache>
                <c:ptCount val="5"/>
                <c:pt idx="0">
                  <c:v>Mumbai</c:v>
                </c:pt>
                <c:pt idx="1">
                  <c:v>Nagpur</c:v>
                </c:pt>
                <c:pt idx="2">
                  <c:v>Nashik</c:v>
                </c:pt>
                <c:pt idx="3">
                  <c:v>Pune</c:v>
                </c:pt>
                <c:pt idx="4">
                  <c:v>(blank)</c:v>
                </c:pt>
              </c:strCache>
            </c:strRef>
          </c:cat>
          <c:val>
            <c:numRef>
              <c:f>'Region-wise Performance'!$B$3:$B$8</c:f>
              <c:numCache>
                <c:formatCode>General</c:formatCode>
                <c:ptCount val="5"/>
                <c:pt idx="0">
                  <c:v>5316040</c:v>
                </c:pt>
                <c:pt idx="1">
                  <c:v>4641580</c:v>
                </c:pt>
                <c:pt idx="2">
                  <c:v>6228113</c:v>
                </c:pt>
                <c:pt idx="3">
                  <c:v>5000146</c:v>
                </c:pt>
              </c:numCache>
            </c:numRef>
          </c:val>
          <c:extLst>
            <c:ext xmlns:c16="http://schemas.microsoft.com/office/drawing/2014/chart" uri="{C3380CC4-5D6E-409C-BE32-E72D297353CC}">
              <c16:uniqueId val="{00000000-56DC-47D0-A07B-42A79B56AD7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[Lead_Management_MIS_Dataset.xlsx]Status Breakdown!PivotTable20</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Status Breakdown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'Status Breakdown'!$B$2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DC-4D1B-99F6-82D3A09BEC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DC-4D1B-99F6-82D3A09BEC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FDC-4D1B-99F6-82D3A09BEC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FDC-4D1B-99F6-82D3A09BEC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FDC-4D1B-99F6-82D3A09BEC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FDC-4D1B-99F6-82D3A09BEC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Breakdown'!$A$3:$A$9</c:f>
              <c:strCache>
                <c:ptCount val="6"/>
                <c:pt idx="0">
                  <c:v>Converted</c:v>
                </c:pt>
                <c:pt idx="1">
                  <c:v>Lost</c:v>
                </c:pt>
                <c:pt idx="2">
                  <c:v>New</c:v>
                </c:pt>
                <c:pt idx="3">
                  <c:v>Qualified</c:v>
                </c:pt>
                <c:pt idx="4">
                  <c:v>Won</c:v>
                </c:pt>
                <c:pt idx="5">
                  <c:v>(blank)</c:v>
                </c:pt>
              </c:strCache>
            </c:strRef>
          </c:cat>
          <c:val>
            <c:numRef>
              <c:f>'Status Breakdown'!$B$3:$B$9</c:f>
              <c:numCache>
                <c:formatCode>General</c:formatCode>
                <c:ptCount val="6"/>
                <c:pt idx="0">
                  <c:v>119</c:v>
                </c:pt>
                <c:pt idx="1">
                  <c:v>86</c:v>
                </c:pt>
                <c:pt idx="2">
                  <c:v>90</c:v>
                </c:pt>
                <c:pt idx="3">
                  <c:v>90</c:v>
                </c:pt>
                <c:pt idx="4">
                  <c:v>115</c:v>
                </c:pt>
              </c:numCache>
            </c:numRef>
          </c:val>
          <c:extLst>
            <c:ext xmlns:c16="http://schemas.microsoft.com/office/drawing/2014/chart" uri="{C3380CC4-5D6E-409C-BE32-E72D297353CC}">
              <c16:uniqueId val="{00000000-940F-4B8F-A527-BEB42E54E6C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[Lead_Management_MIS_Dataset.xlsx]Monthly Trend!PivotTable21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Deal Value</c:v>
                </c:pt>
              </c:strCache>
            </c:strRef>
          </c:tx>
          <c:spPr>
            <a:ln w="28575" cap="rnd">
              <a:solidFill>
                <a:schemeClr val="accent1"/>
              </a:solidFill>
              <a:round/>
            </a:ln>
            <a:effectLst/>
          </c:spPr>
          <c:marker>
            <c:symbol val="none"/>
          </c:marker>
          <c:cat>
            <c:strRef>
              <c:f>'Monthly Trend'!$A$4:$A$9</c:f>
              <c:strCache>
                <c:ptCount val="5"/>
                <c:pt idx="0">
                  <c:v>1</c:v>
                </c:pt>
                <c:pt idx="1">
                  <c:v>2</c:v>
                </c:pt>
                <c:pt idx="2">
                  <c:v>3</c:v>
                </c:pt>
                <c:pt idx="3">
                  <c:v>4</c:v>
                </c:pt>
                <c:pt idx="4">
                  <c:v>(blank)</c:v>
                </c:pt>
              </c:strCache>
            </c:strRef>
          </c:cat>
          <c:val>
            <c:numRef>
              <c:f>'Monthly Trend'!$B$4:$B$9</c:f>
              <c:numCache>
                <c:formatCode>General</c:formatCode>
                <c:ptCount val="5"/>
                <c:pt idx="0">
                  <c:v>6560443</c:v>
                </c:pt>
                <c:pt idx="1">
                  <c:v>6861685</c:v>
                </c:pt>
                <c:pt idx="2">
                  <c:v>7534971</c:v>
                </c:pt>
                <c:pt idx="3">
                  <c:v>228780</c:v>
                </c:pt>
              </c:numCache>
            </c:numRef>
          </c:val>
          <c:smooth val="0"/>
          <c:extLst>
            <c:ext xmlns:c16="http://schemas.microsoft.com/office/drawing/2014/chart" uri="{C3380CC4-5D6E-409C-BE32-E72D297353CC}">
              <c16:uniqueId val="{00000000-8A06-46D4-B452-3B3B802C5F73}"/>
            </c:ext>
          </c:extLst>
        </c:ser>
        <c:ser>
          <c:idx val="1"/>
          <c:order val="1"/>
          <c:tx>
            <c:strRef>
              <c:f>'Monthly Trend'!$C$3</c:f>
              <c:strCache>
                <c:ptCount val="1"/>
                <c:pt idx="0">
                  <c:v>Count of Lead ID</c:v>
                </c:pt>
              </c:strCache>
            </c:strRef>
          </c:tx>
          <c:spPr>
            <a:ln w="28575" cap="rnd">
              <a:solidFill>
                <a:schemeClr val="accent2"/>
              </a:solidFill>
              <a:round/>
            </a:ln>
            <a:effectLst/>
          </c:spPr>
          <c:marker>
            <c:symbol val="none"/>
          </c:marker>
          <c:cat>
            <c:strRef>
              <c:f>'Monthly Trend'!$A$4:$A$9</c:f>
              <c:strCache>
                <c:ptCount val="5"/>
                <c:pt idx="0">
                  <c:v>1</c:v>
                </c:pt>
                <c:pt idx="1">
                  <c:v>2</c:v>
                </c:pt>
                <c:pt idx="2">
                  <c:v>3</c:v>
                </c:pt>
                <c:pt idx="3">
                  <c:v>4</c:v>
                </c:pt>
                <c:pt idx="4">
                  <c:v>(blank)</c:v>
                </c:pt>
              </c:strCache>
            </c:strRef>
          </c:cat>
          <c:val>
            <c:numRef>
              <c:f>'Monthly Trend'!$C$4:$C$9</c:f>
              <c:numCache>
                <c:formatCode>General</c:formatCode>
                <c:ptCount val="5"/>
                <c:pt idx="0">
                  <c:v>148</c:v>
                </c:pt>
                <c:pt idx="1">
                  <c:v>173</c:v>
                </c:pt>
                <c:pt idx="2">
                  <c:v>173</c:v>
                </c:pt>
                <c:pt idx="3">
                  <c:v>6</c:v>
                </c:pt>
              </c:numCache>
            </c:numRef>
          </c:val>
          <c:smooth val="0"/>
          <c:extLst>
            <c:ext xmlns:c16="http://schemas.microsoft.com/office/drawing/2014/chart" uri="{C3380CC4-5D6E-409C-BE32-E72D297353CC}">
              <c16:uniqueId val="{00000001-8A06-46D4-B452-3B3B802C5F73}"/>
            </c:ext>
          </c:extLst>
        </c:ser>
        <c:dLbls>
          <c:showLegendKey val="0"/>
          <c:showVal val="0"/>
          <c:showCatName val="0"/>
          <c:showSerName val="0"/>
          <c:showPercent val="0"/>
          <c:showBubbleSize val="0"/>
        </c:dLbls>
        <c:smooth val="0"/>
        <c:axId val="1628416864"/>
        <c:axId val="1628418304"/>
      </c:lineChart>
      <c:catAx>
        <c:axId val="16284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18304"/>
        <c:crosses val="autoZero"/>
        <c:auto val="1"/>
        <c:lblAlgn val="ctr"/>
        <c:lblOffset val="100"/>
        <c:noMultiLvlLbl val="0"/>
      </c:catAx>
      <c:valAx>
        <c:axId val="162841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[Lead_Management_MIS_Dataset.xlsx]Lead Source Analysis!PivotTable16</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Lead Source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'Lead Source Analysis'!$B$3</c:f>
              <c:strCache>
                <c:ptCount val="1"/>
                <c:pt idx="0">
                  <c:v>Total</c:v>
                </c:pt>
              </c:strCache>
            </c:strRef>
          </c:tx>
          <c:spPr>
            <a:solidFill>
              <a:schemeClr val="accent1"/>
            </a:solidFill>
            <a:ln>
              <a:noFill/>
            </a:ln>
            <a:effectLst/>
          </c:spPr>
          <c:invertIfNegative val="0"/>
          <c:cat>
            <c:strRef>
              <c:f>'Lead Source Analysis'!$A$4:$A$10</c:f>
              <c:strCache>
                <c:ptCount val="6"/>
                <c:pt idx="0">
                  <c:v>Facebook</c:v>
                </c:pt>
                <c:pt idx="1">
                  <c:v>Instagram</c:v>
                </c:pt>
                <c:pt idx="2">
                  <c:v>LinkedIn</c:v>
                </c:pt>
                <c:pt idx="3">
                  <c:v>Referral</c:v>
                </c:pt>
                <c:pt idx="4">
                  <c:v>Website</c:v>
                </c:pt>
                <c:pt idx="5">
                  <c:v>(blank)</c:v>
                </c:pt>
              </c:strCache>
            </c:strRef>
          </c:cat>
          <c:val>
            <c:numRef>
              <c:f>'Lead Source Analysis'!$B$4:$B$10</c:f>
              <c:numCache>
                <c:formatCode>General</c:formatCode>
                <c:ptCount val="6"/>
                <c:pt idx="0">
                  <c:v>113</c:v>
                </c:pt>
                <c:pt idx="1">
                  <c:v>93</c:v>
                </c:pt>
                <c:pt idx="2">
                  <c:v>108</c:v>
                </c:pt>
                <c:pt idx="3">
                  <c:v>88</c:v>
                </c:pt>
                <c:pt idx="4">
                  <c:v>98</c:v>
                </c:pt>
              </c:numCache>
            </c:numRef>
          </c:val>
          <c:extLst>
            <c:ext xmlns:c16="http://schemas.microsoft.com/office/drawing/2014/chart" uri="{C3380CC4-5D6E-409C-BE32-E72D297353CC}">
              <c16:uniqueId val="{00000000-F3AB-4420-89A3-A22E2CF28CBA}"/>
            </c:ext>
          </c:extLst>
        </c:ser>
        <c:dLbls>
          <c:showLegendKey val="0"/>
          <c:showVal val="0"/>
          <c:showCatName val="0"/>
          <c:showSerName val="0"/>
          <c:showPercent val="0"/>
          <c:showBubbleSize val="0"/>
        </c:dLbls>
        <c:gapWidth val="182"/>
        <c:axId val="1598949360"/>
        <c:axId val="1598959920"/>
      </c:barChart>
      <c:catAx>
        <c:axId val="159894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598959920"/>
        <c:crosses val="autoZero"/>
        <c:auto val="1"/>
        <c:lblAlgn val="ctr"/>
        <c:lblOffset val="100"/>
        <c:noMultiLvlLbl val="0"/>
      </c:catAx>
      <c:valAx>
        <c:axId val="159895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59894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lumMod val="75000"/>
        </a:schemeClr>
      </a:solidFill>
      <a:prstDash val="solid"/>
      <a:round/>
    </a:ln>
    <a:effectLst>
      <a:outerShdw blurRad="63500" sx="101000" sy="101000" algn="ctr" rotWithShape="0">
        <a:schemeClr val="accent6">
          <a:lumMod val="75000"/>
          <a:alpha val="75000"/>
        </a:scheme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[Lead_Management_MIS_Dataset.xlsx]Salesperson Performance!PivotTable17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tx1"/>
                </a:solidFill>
              </a:rPr>
              <a:t>Salesperson</a:t>
            </a:r>
            <a:r>
              <a:rPr lang="en-IN" b="1" baseline="0">
                <a:solidFill>
                  <a:schemeClr val="tx1"/>
                </a:solidFill>
              </a:rPr>
              <a:t> Performance</a:t>
            </a:r>
            <a:endParaRPr lang="en-IN" b="1">
              <a:solidFill>
                <a:schemeClr val="tx1"/>
              </a:solidFill>
            </a:endParaRPr>
          </a:p>
        </c:rich>
      </c:tx>
      <c:layout>
        <c:manualLayout>
          <c:xMode val="edge"/>
          <c:yMode val="edge"/>
          <c:x val="0.33060122826515331"/>
          <c:y val="0.1233113426850084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Performance'!$B$3</c:f>
              <c:strCache>
                <c:ptCount val="1"/>
                <c:pt idx="0">
                  <c:v>Count of Lead ID</c:v>
                </c:pt>
              </c:strCache>
            </c:strRef>
          </c:tx>
          <c:spPr>
            <a:solidFill>
              <a:schemeClr val="accent1"/>
            </a:solidFill>
            <a:ln>
              <a:noFill/>
            </a:ln>
            <a:effectLst/>
          </c:spPr>
          <c:invertIfNegative val="0"/>
          <c:cat>
            <c:strRef>
              <c:f>'Salesperson Performance'!$A$4:$A$9</c:f>
              <c:strCache>
                <c:ptCount val="5"/>
                <c:pt idx="0">
                  <c:v>Amit</c:v>
                </c:pt>
                <c:pt idx="1">
                  <c:v>Neha</c:v>
                </c:pt>
                <c:pt idx="2">
                  <c:v>Raj</c:v>
                </c:pt>
                <c:pt idx="3">
                  <c:v>Sonal</c:v>
                </c:pt>
                <c:pt idx="4">
                  <c:v>(blank)</c:v>
                </c:pt>
              </c:strCache>
            </c:strRef>
          </c:cat>
          <c:val>
            <c:numRef>
              <c:f>'Salesperson Performance'!$B$4:$B$9</c:f>
              <c:numCache>
                <c:formatCode>General</c:formatCode>
                <c:ptCount val="5"/>
                <c:pt idx="0">
                  <c:v>121</c:v>
                </c:pt>
                <c:pt idx="1">
                  <c:v>125</c:v>
                </c:pt>
                <c:pt idx="2">
                  <c:v>138</c:v>
                </c:pt>
                <c:pt idx="3">
                  <c:v>116</c:v>
                </c:pt>
              </c:numCache>
            </c:numRef>
          </c:val>
          <c:extLst>
            <c:ext xmlns:c16="http://schemas.microsoft.com/office/drawing/2014/chart" uri="{C3380CC4-5D6E-409C-BE32-E72D297353CC}">
              <c16:uniqueId val="{00000000-CA95-40F7-94CF-D1671A6A90C9}"/>
            </c:ext>
          </c:extLst>
        </c:ser>
        <c:ser>
          <c:idx val="1"/>
          <c:order val="1"/>
          <c:tx>
            <c:strRef>
              <c:f>'Salesperson Performance'!$C$3</c:f>
              <c:strCache>
                <c:ptCount val="1"/>
                <c:pt idx="0">
                  <c:v>Sum of Deal Value</c:v>
                </c:pt>
              </c:strCache>
            </c:strRef>
          </c:tx>
          <c:spPr>
            <a:solidFill>
              <a:schemeClr val="accent2"/>
            </a:solidFill>
            <a:ln>
              <a:noFill/>
            </a:ln>
            <a:effectLst/>
          </c:spPr>
          <c:invertIfNegative val="0"/>
          <c:cat>
            <c:strRef>
              <c:f>'Salesperson Performance'!$A$4:$A$9</c:f>
              <c:strCache>
                <c:ptCount val="5"/>
                <c:pt idx="0">
                  <c:v>Amit</c:v>
                </c:pt>
                <c:pt idx="1">
                  <c:v>Neha</c:v>
                </c:pt>
                <c:pt idx="2">
                  <c:v>Raj</c:v>
                </c:pt>
                <c:pt idx="3">
                  <c:v>Sonal</c:v>
                </c:pt>
                <c:pt idx="4">
                  <c:v>(blank)</c:v>
                </c:pt>
              </c:strCache>
            </c:strRef>
          </c:cat>
          <c:val>
            <c:numRef>
              <c:f>'Salesperson Performance'!$C$4:$C$9</c:f>
              <c:numCache>
                <c:formatCode>General</c:formatCode>
                <c:ptCount val="5"/>
                <c:pt idx="0">
                  <c:v>5033705</c:v>
                </c:pt>
                <c:pt idx="1">
                  <c:v>5282321</c:v>
                </c:pt>
                <c:pt idx="2">
                  <c:v>5504462</c:v>
                </c:pt>
                <c:pt idx="3">
                  <c:v>5365391</c:v>
                </c:pt>
              </c:numCache>
            </c:numRef>
          </c:val>
          <c:extLst>
            <c:ext xmlns:c16="http://schemas.microsoft.com/office/drawing/2014/chart" uri="{C3380CC4-5D6E-409C-BE32-E72D297353CC}">
              <c16:uniqueId val="{00000001-CA95-40F7-94CF-D1671A6A90C9}"/>
            </c:ext>
          </c:extLst>
        </c:ser>
        <c:dLbls>
          <c:showLegendKey val="0"/>
          <c:showVal val="0"/>
          <c:showCatName val="0"/>
          <c:showSerName val="0"/>
          <c:showPercent val="0"/>
          <c:showBubbleSize val="0"/>
        </c:dLbls>
        <c:gapWidth val="219"/>
        <c:overlap val="-27"/>
        <c:axId val="1437005536"/>
        <c:axId val="1628830000"/>
      </c:barChart>
      <c:catAx>
        <c:axId val="14370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628830000"/>
        <c:crosses val="autoZero"/>
        <c:auto val="1"/>
        <c:lblAlgn val="ctr"/>
        <c:lblOffset val="100"/>
        <c:noMultiLvlLbl val="0"/>
      </c:catAx>
      <c:valAx>
        <c:axId val="162883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43700553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lumMod val="75000"/>
        </a:schemeClr>
      </a:solidFill>
      <a:round/>
    </a:ln>
    <a:effectLst>
      <a:outerShdw blurRad="63500" sx="101000" sy="101000" algn="ctr" rotWithShape="0">
        <a:schemeClr val="accent6">
          <a:lumMod val="75000"/>
          <a:alpha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[Lead_Management_MIS_Dataset.xlsx]Region-wise Performance!PivotTable19</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Region wise performance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'Region-wise Performance'!$B$2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6-4209-8BF0-E414F67BD3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46-4209-8BF0-E414F67BD3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46-4209-8BF0-E414F67BD3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46-4209-8BF0-E414F67BD3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46-4209-8BF0-E414F67BD3D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'Region-wise Performance'!$A$3:$A$8</c:f>
              <c:strCache>
                <c:ptCount val="5"/>
                <c:pt idx="0">
                  <c:v>Mumbai</c:v>
                </c:pt>
                <c:pt idx="1">
                  <c:v>Nagpur</c:v>
                </c:pt>
                <c:pt idx="2">
                  <c:v>Nashik</c:v>
                </c:pt>
                <c:pt idx="3">
                  <c:v>Pune</c:v>
                </c:pt>
                <c:pt idx="4">
                  <c:v>(blank)</c:v>
                </c:pt>
              </c:strCache>
            </c:strRef>
          </c:cat>
          <c:val>
            <c:numRef>
              <c:f>'Region-wise Performance'!$B$3:$B$8</c:f>
              <c:numCache>
                <c:formatCode>General</c:formatCode>
                <c:ptCount val="5"/>
                <c:pt idx="0">
                  <c:v>5316040</c:v>
                </c:pt>
                <c:pt idx="1">
                  <c:v>4641580</c:v>
                </c:pt>
                <c:pt idx="2">
                  <c:v>6228113</c:v>
                </c:pt>
                <c:pt idx="3">
                  <c:v>5000146</c:v>
                </c:pt>
              </c:numCache>
            </c:numRef>
          </c:val>
          <c:extLst>
            <c:ext xmlns:c16="http://schemas.microsoft.com/office/drawing/2014/chart" uri="{C3380CC4-5D6E-409C-BE32-E72D297353CC}">
              <c16:uniqueId val="{0000000A-A146-4209-8BF0-E414F67BD3D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lumMod val="75000"/>
        </a:schemeClr>
      </a:solidFill>
      <a:round/>
    </a:ln>
    <a:effectLst>
      <a:outerShdw blurRad="63500" sx="101000" sy="101000" algn="ctr" rotWithShape="0">
        <a:schemeClr val="accent6">
          <a:lumMod val="75000"/>
          <a:alpha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[Lead_Management_MIS_Dataset.xlsx]Status Breakdown!PivotTable20</c:name>
    <c:fmtId val="7"/>
  </c:pivotSource>
  <c:chart>
    <c:title>
      <c:tx>
        <c:rich>
          <a:bodyPr rot="0" spcFirstLastPara="1" vertOverflow="ellipsis" vert="horz" wrap="square" anchor="ctr" anchorCtr="1"/>
          <a:lstStyle/>
          <a:p>
            <a:pPr algn="ctr" rtl="0">
              <a:defRPr lang="en-IN" sz="1400" b="1" i="0" u="none" strike="noStrike" kern="1200" cap="all"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Status Breakdown</a:t>
            </a:r>
          </a:p>
        </c:rich>
      </c:tx>
      <c:overlay val="0"/>
      <c:spPr>
        <a:noFill/>
        <a:ln>
          <a:noFill/>
        </a:ln>
        <a:effectLst/>
      </c:spPr>
      <c:txPr>
        <a:bodyPr rot="0" spcFirstLastPara="1" vertOverflow="ellipsis" vert="horz" wrap="square" anchor="ctr" anchorCtr="1"/>
        <a:lstStyle/>
        <a:p>
          <a:pPr algn="ctr" rtl="0">
            <a:defRPr lang="en-IN" sz="1400" b="1" i="0" u="none"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442102449590805"/>
          <c:y val="0.27922174144982514"/>
          <c:w val="0.26059846439386403"/>
          <c:h val="0.68603332237675185"/>
        </c:manualLayout>
      </c:layout>
      <c:doughnutChart>
        <c:varyColors val="1"/>
        <c:ser>
          <c:idx val="0"/>
          <c:order val="0"/>
          <c:tx>
            <c:strRef>
              <c:f>'Status Breakdown'!$B$2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B4-4AB8-9D52-BF56153A1C2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B4-4AB8-9D52-BF56153A1C2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6B4-4AB8-9D52-BF56153A1C2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6B4-4AB8-9D52-BF56153A1C2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6B4-4AB8-9D52-BF56153A1C2E}"/>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6B4-4AB8-9D52-BF56153A1C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Breakdown'!$A$3:$A$9</c:f>
              <c:strCache>
                <c:ptCount val="6"/>
                <c:pt idx="0">
                  <c:v>Converted</c:v>
                </c:pt>
                <c:pt idx="1">
                  <c:v>Lost</c:v>
                </c:pt>
                <c:pt idx="2">
                  <c:v>New</c:v>
                </c:pt>
                <c:pt idx="3">
                  <c:v>Qualified</c:v>
                </c:pt>
                <c:pt idx="4">
                  <c:v>Won</c:v>
                </c:pt>
                <c:pt idx="5">
                  <c:v>(blank)</c:v>
                </c:pt>
              </c:strCache>
            </c:strRef>
          </c:cat>
          <c:val>
            <c:numRef>
              <c:f>'Status Breakdown'!$B$3:$B$9</c:f>
              <c:numCache>
                <c:formatCode>General</c:formatCode>
                <c:ptCount val="6"/>
                <c:pt idx="0">
                  <c:v>119</c:v>
                </c:pt>
                <c:pt idx="1">
                  <c:v>86</c:v>
                </c:pt>
                <c:pt idx="2">
                  <c:v>90</c:v>
                </c:pt>
                <c:pt idx="3">
                  <c:v>90</c:v>
                </c:pt>
                <c:pt idx="4">
                  <c:v>115</c:v>
                </c:pt>
              </c:numCache>
            </c:numRef>
          </c:val>
          <c:extLst>
            <c:ext xmlns:c16="http://schemas.microsoft.com/office/drawing/2014/chart" uri="{C3380CC4-5D6E-409C-BE32-E72D297353CC}">
              <c16:uniqueId val="{0000000C-D6B4-4AB8-9D52-BF56153A1C2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900" b="1" i="0" u="none" strike="noStrike" kern="1200" spc="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lumMod val="75000"/>
        </a:schemeClr>
      </a:solidFill>
      <a:round/>
    </a:ln>
    <a:effectLst>
      <a:outerShdw blurRad="63500" sx="101000" sy="101000" algn="ctr" rotWithShape="0">
        <a:schemeClr val="accent6">
          <a:lumMod val="75000"/>
          <a:alpha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[Lead_Management_MIS_Dataset.xlsx]Monthly Trend!PivotTable21</c:name>
    <c:fmtId val="3"/>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Monthly Trend</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Deal Value</c:v>
                </c:pt>
              </c:strCache>
            </c:strRef>
          </c:tx>
          <c:spPr>
            <a:ln w="28575" cap="rnd">
              <a:solidFill>
                <a:schemeClr val="accent1"/>
              </a:solidFill>
              <a:round/>
            </a:ln>
            <a:effectLst/>
          </c:spPr>
          <c:marker>
            <c:symbol val="none"/>
          </c:marker>
          <c:cat>
            <c:strRef>
              <c:f>'Monthly Trend'!$A$4:$A$9</c:f>
              <c:strCache>
                <c:ptCount val="5"/>
                <c:pt idx="0">
                  <c:v>1</c:v>
                </c:pt>
                <c:pt idx="1">
                  <c:v>2</c:v>
                </c:pt>
                <c:pt idx="2">
                  <c:v>3</c:v>
                </c:pt>
                <c:pt idx="3">
                  <c:v>4</c:v>
                </c:pt>
                <c:pt idx="4">
                  <c:v>(blank)</c:v>
                </c:pt>
              </c:strCache>
            </c:strRef>
          </c:cat>
          <c:val>
            <c:numRef>
              <c:f>'Monthly Trend'!$B$4:$B$9</c:f>
              <c:numCache>
                <c:formatCode>General</c:formatCode>
                <c:ptCount val="5"/>
                <c:pt idx="0">
                  <c:v>6560443</c:v>
                </c:pt>
                <c:pt idx="1">
                  <c:v>6861685</c:v>
                </c:pt>
                <c:pt idx="2">
                  <c:v>7534971</c:v>
                </c:pt>
                <c:pt idx="3">
                  <c:v>228780</c:v>
                </c:pt>
              </c:numCache>
            </c:numRef>
          </c:val>
          <c:smooth val="0"/>
          <c:extLst>
            <c:ext xmlns:c16="http://schemas.microsoft.com/office/drawing/2014/chart" uri="{C3380CC4-5D6E-409C-BE32-E72D297353CC}">
              <c16:uniqueId val="{00000000-C0F2-4E15-8201-A1FEECAC35F1}"/>
            </c:ext>
          </c:extLst>
        </c:ser>
        <c:ser>
          <c:idx val="1"/>
          <c:order val="1"/>
          <c:tx>
            <c:strRef>
              <c:f>'Monthly Trend'!$C$3</c:f>
              <c:strCache>
                <c:ptCount val="1"/>
                <c:pt idx="0">
                  <c:v>Count of Lead ID</c:v>
                </c:pt>
              </c:strCache>
            </c:strRef>
          </c:tx>
          <c:spPr>
            <a:ln w="28575" cap="rnd">
              <a:solidFill>
                <a:schemeClr val="accent2"/>
              </a:solidFill>
              <a:round/>
            </a:ln>
            <a:effectLst/>
          </c:spPr>
          <c:marker>
            <c:symbol val="none"/>
          </c:marker>
          <c:cat>
            <c:strRef>
              <c:f>'Monthly Trend'!$A$4:$A$9</c:f>
              <c:strCache>
                <c:ptCount val="5"/>
                <c:pt idx="0">
                  <c:v>1</c:v>
                </c:pt>
                <c:pt idx="1">
                  <c:v>2</c:v>
                </c:pt>
                <c:pt idx="2">
                  <c:v>3</c:v>
                </c:pt>
                <c:pt idx="3">
                  <c:v>4</c:v>
                </c:pt>
                <c:pt idx="4">
                  <c:v>(blank)</c:v>
                </c:pt>
              </c:strCache>
            </c:strRef>
          </c:cat>
          <c:val>
            <c:numRef>
              <c:f>'Monthly Trend'!$C$4:$C$9</c:f>
              <c:numCache>
                <c:formatCode>General</c:formatCode>
                <c:ptCount val="5"/>
                <c:pt idx="0">
                  <c:v>148</c:v>
                </c:pt>
                <c:pt idx="1">
                  <c:v>173</c:v>
                </c:pt>
                <c:pt idx="2">
                  <c:v>173</c:v>
                </c:pt>
                <c:pt idx="3">
                  <c:v>6</c:v>
                </c:pt>
              </c:numCache>
            </c:numRef>
          </c:val>
          <c:smooth val="0"/>
          <c:extLst>
            <c:ext xmlns:c16="http://schemas.microsoft.com/office/drawing/2014/chart" uri="{C3380CC4-5D6E-409C-BE32-E72D297353CC}">
              <c16:uniqueId val="{00000001-C0F2-4E15-8201-A1FEECAC35F1}"/>
            </c:ext>
          </c:extLst>
        </c:ser>
        <c:dLbls>
          <c:showLegendKey val="0"/>
          <c:showVal val="0"/>
          <c:showCatName val="0"/>
          <c:showSerName val="0"/>
          <c:showPercent val="0"/>
          <c:showBubbleSize val="0"/>
        </c:dLbls>
        <c:smooth val="0"/>
        <c:axId val="1628416864"/>
        <c:axId val="1628418304"/>
      </c:lineChart>
      <c:catAx>
        <c:axId val="16284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28418304"/>
        <c:crosses val="autoZero"/>
        <c:auto val="1"/>
        <c:lblAlgn val="ctr"/>
        <c:lblOffset val="100"/>
        <c:noMultiLvlLbl val="0"/>
      </c:catAx>
      <c:valAx>
        <c:axId val="162841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endParaRPr lang="en-US"/>
          </a:p>
        </c:txPr>
        <c:crossAx val="16284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900" b="1" i="0" u="none" strike="noStrike" kern="1200" spc="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lumMod val="75000"/>
        </a:schemeClr>
      </a:solidFill>
      <a:round/>
    </a:ln>
    <a:effectLst>
      <a:outerShdw blurRad="63500" sx="101000" sy="101000" algn="ctr" rotWithShape="0">
        <a:schemeClr val="accent6">
          <a:lumMod val="75000"/>
          <a:alpha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607695</xdr:colOff>
      <xdr:row>1</xdr:row>
      <xdr:rowOff>181926</xdr:rowOff>
    </xdr:from>
    <xdr:to>
      <xdr:col>10</xdr:col>
      <xdr:colOff>7620</xdr:colOff>
      <xdr:row>16</xdr:row>
      <xdr:rowOff>160019</xdr:rowOff>
    </xdr:to>
    <xdr:graphicFrame macro="">
      <xdr:nvGraphicFramePr>
        <xdr:cNvPr id="2" name="Chart 1">
          <a:extLst>
            <a:ext uri="{FF2B5EF4-FFF2-40B4-BE49-F238E27FC236}">
              <a16:creationId xmlns:a16="http://schemas.microsoft.com/office/drawing/2014/main" id="{4AF9F4E4-4096-21F3-B62F-5B7236432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3811</xdr:colOff>
      <xdr:row>2</xdr:row>
      <xdr:rowOff>10476</xdr:rowOff>
    </xdr:from>
    <xdr:to>
      <xdr:col>11</xdr:col>
      <xdr:colOff>15241</xdr:colOff>
      <xdr:row>16</xdr:row>
      <xdr:rowOff>175259</xdr:rowOff>
    </xdr:to>
    <xdr:graphicFrame macro="">
      <xdr:nvGraphicFramePr>
        <xdr:cNvPr id="2" name="Chart 1">
          <a:extLst>
            <a:ext uri="{FF2B5EF4-FFF2-40B4-BE49-F238E27FC236}">
              <a16:creationId xmlns:a16="http://schemas.microsoft.com/office/drawing/2014/main" id="{74943939-05DE-FF4C-3403-70311B4E1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xdr:colOff>
      <xdr:row>1</xdr:row>
      <xdr:rowOff>952</xdr:rowOff>
    </xdr:from>
    <xdr:to>
      <xdr:col>10</xdr:col>
      <xdr:colOff>601980</xdr:colOff>
      <xdr:row>15</xdr:row>
      <xdr:rowOff>167640</xdr:rowOff>
    </xdr:to>
    <xdr:graphicFrame macro="">
      <xdr:nvGraphicFramePr>
        <xdr:cNvPr id="2" name="Chart 1">
          <a:extLst>
            <a:ext uri="{FF2B5EF4-FFF2-40B4-BE49-F238E27FC236}">
              <a16:creationId xmlns:a16="http://schemas.microsoft.com/office/drawing/2014/main" id="{D1C12E99-8A70-A9AF-04DB-A8E4BC57E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1</xdr:row>
      <xdr:rowOff>8572</xdr:rowOff>
    </xdr:from>
    <xdr:to>
      <xdr:col>10</xdr:col>
      <xdr:colOff>601980</xdr:colOff>
      <xdr:row>15</xdr:row>
      <xdr:rowOff>144780</xdr:rowOff>
    </xdr:to>
    <xdr:graphicFrame macro="">
      <xdr:nvGraphicFramePr>
        <xdr:cNvPr id="3" name="Chart 2">
          <a:extLst>
            <a:ext uri="{FF2B5EF4-FFF2-40B4-BE49-F238E27FC236}">
              <a16:creationId xmlns:a16="http://schemas.microsoft.com/office/drawing/2014/main" id="{F0BBF91C-5FCB-0EFF-9998-D36671ECB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600074</xdr:colOff>
      <xdr:row>2</xdr:row>
      <xdr:rowOff>2856</xdr:rowOff>
    </xdr:from>
    <xdr:to>
      <xdr:col>12</xdr:col>
      <xdr:colOff>7619</xdr:colOff>
      <xdr:row>17</xdr:row>
      <xdr:rowOff>7619</xdr:rowOff>
    </xdr:to>
    <xdr:graphicFrame macro="">
      <xdr:nvGraphicFramePr>
        <xdr:cNvPr id="2" name="Chart 1">
          <a:extLst>
            <a:ext uri="{FF2B5EF4-FFF2-40B4-BE49-F238E27FC236}">
              <a16:creationId xmlns:a16="http://schemas.microsoft.com/office/drawing/2014/main" id="{924D4BF0-4D54-09EF-306C-D968A3653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160984</xdr:colOff>
      <xdr:row>3</xdr:row>
      <xdr:rowOff>107323</xdr:rowOff>
    </xdr:from>
    <xdr:to>
      <xdr:col>5</xdr:col>
      <xdr:colOff>474247</xdr:colOff>
      <xdr:row>10</xdr:row>
      <xdr:rowOff>140441</xdr:rowOff>
    </xdr:to>
    <xdr:sp macro="" textlink="">
      <xdr:nvSpPr>
        <xdr:cNvPr id="12" name="Rectangle: Rounded Corners 11">
          <a:extLst>
            <a:ext uri="{FF2B5EF4-FFF2-40B4-BE49-F238E27FC236}">
              <a16:creationId xmlns:a16="http://schemas.microsoft.com/office/drawing/2014/main" id="{E4CFCA44-3FE3-4AED-8734-A9765D906536}"/>
            </a:ext>
          </a:extLst>
        </xdr:cNvPr>
        <xdr:cNvSpPr/>
      </xdr:nvSpPr>
      <xdr:spPr>
        <a:xfrm>
          <a:off x="772589" y="648744"/>
          <a:ext cx="2880000" cy="1512000"/>
        </a:xfrm>
        <a:prstGeom prst="roundRect">
          <a:avLst/>
        </a:prstGeom>
        <a:noFill/>
        <a:ln w="19050" cmpd="sng">
          <a:solidFill>
            <a:schemeClr val="accent6">
              <a:lumMod val="75000"/>
            </a:schemeClr>
          </a:solidFill>
        </a:ln>
        <a:effectLst>
          <a:outerShdw blurRad="63500" sx="102000" sy="102000" algn="ctr"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529350</xdr:colOff>
      <xdr:row>5</xdr:row>
      <xdr:rowOff>88887</xdr:rowOff>
    </xdr:from>
    <xdr:to>
      <xdr:col>5</xdr:col>
      <xdr:colOff>16054</xdr:colOff>
      <xdr:row>7</xdr:row>
      <xdr:rowOff>83986</xdr:rowOff>
    </xdr:to>
    <xdr:sp macro="" textlink="">
      <xdr:nvSpPr>
        <xdr:cNvPr id="14" name="TextBox 13">
          <a:extLst>
            <a:ext uri="{FF2B5EF4-FFF2-40B4-BE49-F238E27FC236}">
              <a16:creationId xmlns:a16="http://schemas.microsoft.com/office/drawing/2014/main" id="{EF18E7A7-82A2-4E9E-894E-8D5ECF9488D4}"/>
            </a:ext>
          </a:extLst>
        </xdr:cNvPr>
        <xdr:cNvSpPr txBox="1"/>
      </xdr:nvSpPr>
      <xdr:spPr>
        <a:xfrm>
          <a:off x="1752843" y="1001141"/>
          <a:ext cx="144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dk1"/>
              </a:solidFill>
              <a:latin typeface="+mn-lt"/>
              <a:ea typeface="+mn-ea"/>
              <a:cs typeface="+mn-cs"/>
            </a:rPr>
            <a:t>Total Leads</a:t>
          </a:r>
        </a:p>
        <a:p>
          <a:endParaRPr lang="en-IN" sz="2000" b="1"/>
        </a:p>
        <a:p>
          <a:endParaRPr lang="en-IN" sz="2000" b="1"/>
        </a:p>
      </xdr:txBody>
    </xdr:sp>
    <xdr:clientData/>
  </xdr:twoCellAnchor>
  <xdr:twoCellAnchor>
    <xdr:from>
      <xdr:col>6</xdr:col>
      <xdr:colOff>366637</xdr:colOff>
      <xdr:row>3</xdr:row>
      <xdr:rowOff>87121</xdr:rowOff>
    </xdr:from>
    <xdr:to>
      <xdr:col>11</xdr:col>
      <xdr:colOff>188610</xdr:colOff>
      <xdr:row>10</xdr:row>
      <xdr:rowOff>120239</xdr:rowOff>
    </xdr:to>
    <xdr:sp macro="" textlink="">
      <xdr:nvSpPr>
        <xdr:cNvPr id="15" name="Rectangle: Rounded Corners 14">
          <a:extLst>
            <a:ext uri="{FF2B5EF4-FFF2-40B4-BE49-F238E27FC236}">
              <a16:creationId xmlns:a16="http://schemas.microsoft.com/office/drawing/2014/main" id="{5154BCEA-FECD-4AE4-A3B1-B95D5AADD2D3}"/>
            </a:ext>
          </a:extLst>
        </xdr:cNvPr>
        <xdr:cNvSpPr/>
      </xdr:nvSpPr>
      <xdr:spPr>
        <a:xfrm>
          <a:off x="4156584" y="628542"/>
          <a:ext cx="2880000" cy="1512000"/>
        </a:xfrm>
        <a:prstGeom prst="roundRect">
          <a:avLst/>
        </a:prstGeom>
        <a:noFill/>
        <a:ln w="19050" cmpd="sng">
          <a:solidFill>
            <a:schemeClr val="accent6">
              <a:lumMod val="75000"/>
            </a:schemeClr>
          </a:solidFill>
        </a:ln>
        <a:effectLst>
          <a:outerShdw blurRad="63500" sx="102000" sy="102000" algn="ctr"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509789</xdr:colOff>
      <xdr:row>3</xdr:row>
      <xdr:rowOff>107322</xdr:rowOff>
    </xdr:from>
    <xdr:to>
      <xdr:col>16</xdr:col>
      <xdr:colOff>331763</xdr:colOff>
      <xdr:row>10</xdr:row>
      <xdr:rowOff>140440</xdr:rowOff>
    </xdr:to>
    <xdr:sp macro="" textlink="">
      <xdr:nvSpPr>
        <xdr:cNvPr id="16" name="Rectangle: Rounded Corners 15">
          <a:extLst>
            <a:ext uri="{FF2B5EF4-FFF2-40B4-BE49-F238E27FC236}">
              <a16:creationId xmlns:a16="http://schemas.microsoft.com/office/drawing/2014/main" id="{922543A9-BB98-498C-9C66-8D8F02AE290C}"/>
            </a:ext>
          </a:extLst>
        </xdr:cNvPr>
        <xdr:cNvSpPr/>
      </xdr:nvSpPr>
      <xdr:spPr>
        <a:xfrm>
          <a:off x="7357763" y="648743"/>
          <a:ext cx="2880000" cy="1512000"/>
        </a:xfrm>
        <a:prstGeom prst="roundRect">
          <a:avLst/>
        </a:prstGeom>
        <a:noFill/>
        <a:ln w="19050" cmpd="sng">
          <a:solidFill>
            <a:schemeClr val="accent6">
              <a:lumMod val="75000"/>
            </a:schemeClr>
          </a:solidFill>
        </a:ln>
        <a:effectLst>
          <a:outerShdw blurRad="63500" sx="102000" sy="102000" algn="ctr"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xdr:colOff>
      <xdr:row>3</xdr:row>
      <xdr:rowOff>80490</xdr:rowOff>
    </xdr:from>
    <xdr:to>
      <xdr:col>21</xdr:col>
      <xdr:colOff>433580</xdr:colOff>
      <xdr:row>10</xdr:row>
      <xdr:rowOff>113608</xdr:rowOff>
    </xdr:to>
    <xdr:sp macro="" textlink="">
      <xdr:nvSpPr>
        <xdr:cNvPr id="17" name="Rectangle: Rounded Corners 16">
          <a:extLst>
            <a:ext uri="{FF2B5EF4-FFF2-40B4-BE49-F238E27FC236}">
              <a16:creationId xmlns:a16="http://schemas.microsoft.com/office/drawing/2014/main" id="{619F05DF-6051-4406-A74A-09A3551D5CD8}"/>
            </a:ext>
          </a:extLst>
        </xdr:cNvPr>
        <xdr:cNvSpPr/>
      </xdr:nvSpPr>
      <xdr:spPr>
        <a:xfrm>
          <a:off x="10517606" y="621911"/>
          <a:ext cx="2880000" cy="1512000"/>
        </a:xfrm>
        <a:prstGeom prst="roundRect">
          <a:avLst/>
        </a:prstGeom>
        <a:noFill/>
        <a:ln w="19050" cmpd="sng">
          <a:solidFill>
            <a:schemeClr val="accent6">
              <a:lumMod val="75000"/>
            </a:schemeClr>
          </a:solidFill>
        </a:ln>
        <a:effectLst>
          <a:outerShdw blurRad="63500" sx="102000" sy="102000" algn="ctr"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305059</xdr:colOff>
      <xdr:row>3</xdr:row>
      <xdr:rowOff>86633</xdr:rowOff>
    </xdr:from>
    <xdr:to>
      <xdr:col>27</xdr:col>
      <xdr:colOff>127033</xdr:colOff>
      <xdr:row>10</xdr:row>
      <xdr:rowOff>119751</xdr:rowOff>
    </xdr:to>
    <xdr:sp macro="" textlink="">
      <xdr:nvSpPr>
        <xdr:cNvPr id="18" name="Rectangle: Rounded Corners 17">
          <a:extLst>
            <a:ext uri="{FF2B5EF4-FFF2-40B4-BE49-F238E27FC236}">
              <a16:creationId xmlns:a16="http://schemas.microsoft.com/office/drawing/2014/main" id="{2D5E3ADF-95DF-4A9A-9A42-A50580026376}"/>
            </a:ext>
          </a:extLst>
        </xdr:cNvPr>
        <xdr:cNvSpPr/>
      </xdr:nvSpPr>
      <xdr:spPr>
        <a:xfrm>
          <a:off x="13880691" y="628054"/>
          <a:ext cx="2880000" cy="1512000"/>
        </a:xfrm>
        <a:prstGeom prst="roundRect">
          <a:avLst/>
        </a:prstGeom>
        <a:noFill/>
        <a:ln w="19050" cmpd="sng">
          <a:solidFill>
            <a:schemeClr val="accent6">
              <a:lumMod val="75000"/>
            </a:schemeClr>
          </a:solidFill>
        </a:ln>
        <a:effectLst>
          <a:outerShdw blurRad="63500" sx="102000" sy="102000" algn="ctr"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408772</xdr:colOff>
      <xdr:row>5</xdr:row>
      <xdr:rowOff>92064</xdr:rowOff>
    </xdr:from>
    <xdr:to>
      <xdr:col>10</xdr:col>
      <xdr:colOff>373533</xdr:colOff>
      <xdr:row>7</xdr:row>
      <xdr:rowOff>87163</xdr:rowOff>
    </xdr:to>
    <xdr:sp macro="" textlink="">
      <xdr:nvSpPr>
        <xdr:cNvPr id="19" name="TextBox 18">
          <a:extLst>
            <a:ext uri="{FF2B5EF4-FFF2-40B4-BE49-F238E27FC236}">
              <a16:creationId xmlns:a16="http://schemas.microsoft.com/office/drawing/2014/main" id="{E8C9536E-86A3-45FE-8699-8D1737EF954D}"/>
            </a:ext>
          </a:extLst>
        </xdr:cNvPr>
        <xdr:cNvSpPr txBox="1"/>
      </xdr:nvSpPr>
      <xdr:spPr>
        <a:xfrm>
          <a:off x="4809054" y="1004318"/>
          <a:ext cx="180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dk1"/>
              </a:solidFill>
              <a:latin typeface="+mn-lt"/>
              <a:ea typeface="+mn-ea"/>
              <a:cs typeface="+mn-cs"/>
            </a:rPr>
            <a:t>Converted Leads</a:t>
          </a:r>
        </a:p>
        <a:p>
          <a:endParaRPr lang="en-IN" sz="2000" b="1"/>
        </a:p>
        <a:p>
          <a:endParaRPr lang="en-IN" sz="2000" b="1"/>
        </a:p>
      </xdr:txBody>
    </xdr:sp>
    <xdr:clientData/>
  </xdr:twoCellAnchor>
  <xdr:twoCellAnchor>
    <xdr:from>
      <xdr:col>12</xdr:col>
      <xdr:colOff>389195</xdr:colOff>
      <xdr:row>5</xdr:row>
      <xdr:rowOff>23161</xdr:rowOff>
    </xdr:from>
    <xdr:to>
      <xdr:col>15</xdr:col>
      <xdr:colOff>482957</xdr:colOff>
      <xdr:row>7</xdr:row>
      <xdr:rowOff>18260</xdr:rowOff>
    </xdr:to>
    <xdr:sp macro="" textlink="">
      <xdr:nvSpPr>
        <xdr:cNvPr id="20" name="TextBox 19">
          <a:extLst>
            <a:ext uri="{FF2B5EF4-FFF2-40B4-BE49-F238E27FC236}">
              <a16:creationId xmlns:a16="http://schemas.microsoft.com/office/drawing/2014/main" id="{26BCFE04-D899-4497-87C0-91F818A20FC4}"/>
            </a:ext>
          </a:extLst>
        </xdr:cNvPr>
        <xdr:cNvSpPr txBox="1"/>
      </xdr:nvSpPr>
      <xdr:spPr>
        <a:xfrm>
          <a:off x="7829901" y="919632"/>
          <a:ext cx="1922562" cy="35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dk1"/>
              </a:solidFill>
              <a:latin typeface="+mn-lt"/>
              <a:ea typeface="+mn-ea"/>
              <a:cs typeface="+mn-cs"/>
            </a:rPr>
            <a:t>Conversion</a:t>
          </a:r>
          <a:r>
            <a:rPr lang="en-IN" sz="2000" b="1" baseline="0"/>
            <a:t> </a:t>
          </a:r>
          <a:r>
            <a:rPr lang="en-IN" sz="1800" b="1">
              <a:solidFill>
                <a:schemeClr val="dk1"/>
              </a:solidFill>
              <a:latin typeface="+mn-lt"/>
              <a:ea typeface="+mn-ea"/>
              <a:cs typeface="+mn-cs"/>
            </a:rPr>
            <a:t>Rate</a:t>
          </a:r>
        </a:p>
        <a:p>
          <a:endParaRPr lang="en-IN" sz="2000" b="1"/>
        </a:p>
        <a:p>
          <a:endParaRPr lang="en-IN" sz="2000" b="1"/>
        </a:p>
      </xdr:txBody>
    </xdr:sp>
    <xdr:clientData/>
  </xdr:twoCellAnchor>
  <xdr:twoCellAnchor>
    <xdr:from>
      <xdr:col>18</xdr:col>
      <xdr:colOff>123162</xdr:colOff>
      <xdr:row>5</xdr:row>
      <xdr:rowOff>40353</xdr:rowOff>
    </xdr:from>
    <xdr:to>
      <xdr:col>20</xdr:col>
      <xdr:colOff>511620</xdr:colOff>
      <xdr:row>7</xdr:row>
      <xdr:rowOff>35452</xdr:rowOff>
    </xdr:to>
    <xdr:sp macro="" textlink="">
      <xdr:nvSpPr>
        <xdr:cNvPr id="21" name="TextBox 20">
          <a:extLst>
            <a:ext uri="{FF2B5EF4-FFF2-40B4-BE49-F238E27FC236}">
              <a16:creationId xmlns:a16="http://schemas.microsoft.com/office/drawing/2014/main" id="{6380CAD2-1DC7-44C5-8EB7-986CC6853EAE}"/>
            </a:ext>
          </a:extLst>
        </xdr:cNvPr>
        <xdr:cNvSpPr txBox="1"/>
      </xdr:nvSpPr>
      <xdr:spPr>
        <a:xfrm>
          <a:off x="11097035" y="979438"/>
          <a:ext cx="1595853" cy="370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t>Total</a:t>
          </a:r>
          <a:r>
            <a:rPr lang="en-IN" sz="1800" b="1" baseline="0"/>
            <a:t> Revenue</a:t>
          </a:r>
        </a:p>
        <a:p>
          <a:endParaRPr lang="en-IN" sz="1800" b="1"/>
        </a:p>
        <a:p>
          <a:endParaRPr lang="en-IN" sz="1800" b="1"/>
        </a:p>
        <a:p>
          <a:endParaRPr lang="en-IN" sz="1800" b="1"/>
        </a:p>
      </xdr:txBody>
    </xdr:sp>
    <xdr:clientData/>
  </xdr:twoCellAnchor>
  <xdr:twoCellAnchor>
    <xdr:from>
      <xdr:col>23</xdr:col>
      <xdr:colOff>26832</xdr:colOff>
      <xdr:row>5</xdr:row>
      <xdr:rowOff>67077</xdr:rowOff>
    </xdr:from>
    <xdr:to>
      <xdr:col>26</xdr:col>
      <xdr:colOff>263495</xdr:colOff>
      <xdr:row>7</xdr:row>
      <xdr:rowOff>48244</xdr:rowOff>
    </xdr:to>
    <xdr:sp macro="" textlink="">
      <xdr:nvSpPr>
        <xdr:cNvPr id="22" name="TextBox 21">
          <a:extLst>
            <a:ext uri="{FF2B5EF4-FFF2-40B4-BE49-F238E27FC236}">
              <a16:creationId xmlns:a16="http://schemas.microsoft.com/office/drawing/2014/main" id="{8B2FCF00-9533-4309-90B0-8A63C9557DD6}"/>
            </a:ext>
          </a:extLst>
        </xdr:cNvPr>
        <xdr:cNvSpPr txBox="1"/>
      </xdr:nvSpPr>
      <xdr:spPr>
        <a:xfrm>
          <a:off x="14019191" y="1006162"/>
          <a:ext cx="2047755" cy="35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dk1"/>
              </a:solidFill>
              <a:latin typeface="+mn-lt"/>
              <a:ea typeface="+mn-ea"/>
              <a:cs typeface="+mn-cs"/>
            </a:rPr>
            <a:t>Average Deal Size</a:t>
          </a:r>
        </a:p>
        <a:p>
          <a:endParaRPr lang="en-IN" sz="2000" b="1" baseline="0"/>
        </a:p>
        <a:p>
          <a:endParaRPr lang="en-IN" sz="2000" b="1"/>
        </a:p>
        <a:p>
          <a:endParaRPr lang="en-IN" sz="2000" b="1"/>
        </a:p>
        <a:p>
          <a:endParaRPr lang="en-IN" sz="2000" b="1"/>
        </a:p>
      </xdr:txBody>
    </xdr:sp>
    <xdr:clientData/>
  </xdr:twoCellAnchor>
  <xdr:twoCellAnchor>
    <xdr:from>
      <xdr:col>1</xdr:col>
      <xdr:colOff>19496</xdr:colOff>
      <xdr:row>2</xdr:row>
      <xdr:rowOff>10583</xdr:rowOff>
    </xdr:from>
    <xdr:to>
      <xdr:col>28</xdr:col>
      <xdr:colOff>25400</xdr:colOff>
      <xdr:row>41</xdr:row>
      <xdr:rowOff>25399</xdr:rowOff>
    </xdr:to>
    <xdr:sp macro="" textlink="">
      <xdr:nvSpPr>
        <xdr:cNvPr id="23" name="Rectangle 22">
          <a:extLst>
            <a:ext uri="{FF2B5EF4-FFF2-40B4-BE49-F238E27FC236}">
              <a16:creationId xmlns:a16="http://schemas.microsoft.com/office/drawing/2014/main" id="{64AF2D10-83AC-6F67-740D-045B4171E2F4}"/>
            </a:ext>
          </a:extLst>
        </xdr:cNvPr>
        <xdr:cNvSpPr/>
      </xdr:nvSpPr>
      <xdr:spPr>
        <a:xfrm>
          <a:off x="633329" y="370416"/>
          <a:ext cx="16695821" cy="724323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214648</xdr:colOff>
      <xdr:row>11</xdr:row>
      <xdr:rowOff>174401</xdr:rowOff>
    </xdr:from>
    <xdr:to>
      <xdr:col>9</xdr:col>
      <xdr:colOff>426086</xdr:colOff>
      <xdr:row>26</xdr:row>
      <xdr:rowOff>63963</xdr:rowOff>
    </xdr:to>
    <xdr:graphicFrame macro="">
      <xdr:nvGraphicFramePr>
        <xdr:cNvPr id="33" name="Chart 32">
          <a:extLst>
            <a:ext uri="{FF2B5EF4-FFF2-40B4-BE49-F238E27FC236}">
              <a16:creationId xmlns:a16="http://schemas.microsoft.com/office/drawing/2014/main" id="{9366C7E1-0634-4464-BF79-898CC2C15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200601</xdr:colOff>
      <xdr:row>12</xdr:row>
      <xdr:rowOff>1028</xdr:rowOff>
    </xdr:from>
    <xdr:to>
      <xdr:col>18</xdr:col>
      <xdr:colOff>531101</xdr:colOff>
      <xdr:row>26</xdr:row>
      <xdr:rowOff>73153</xdr:rowOff>
    </xdr:to>
    <xdr:graphicFrame macro="">
      <xdr:nvGraphicFramePr>
        <xdr:cNvPr id="34" name="Chart 33">
          <a:extLst>
            <a:ext uri="{FF2B5EF4-FFF2-40B4-BE49-F238E27FC236}">
              <a16:creationId xmlns:a16="http://schemas.microsoft.com/office/drawing/2014/main" id="{AEB67835-E56D-4842-8607-E122AD474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207253</xdr:colOff>
      <xdr:row>11</xdr:row>
      <xdr:rowOff>155935</xdr:rowOff>
    </xdr:from>
    <xdr:to>
      <xdr:col>27</xdr:col>
      <xdr:colOff>177753</xdr:colOff>
      <xdr:row>26</xdr:row>
      <xdr:rowOff>74740</xdr:rowOff>
    </xdr:to>
    <xdr:graphicFrame macro="">
      <xdr:nvGraphicFramePr>
        <xdr:cNvPr id="35" name="Chart 34">
          <a:extLst>
            <a:ext uri="{FF2B5EF4-FFF2-40B4-BE49-F238E27FC236}">
              <a16:creationId xmlns:a16="http://schemas.microsoft.com/office/drawing/2014/main" id="{BD28A9D5-8CC8-4B32-875C-F19631FE3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236899</xdr:colOff>
      <xdr:row>28</xdr:row>
      <xdr:rowOff>13259</xdr:rowOff>
    </xdr:from>
    <xdr:to>
      <xdr:col>8</xdr:col>
      <xdr:colOff>524193</xdr:colOff>
      <xdr:row>40</xdr:row>
      <xdr:rowOff>21729</xdr:rowOff>
    </xdr:to>
    <xdr:graphicFrame macro="">
      <xdr:nvGraphicFramePr>
        <xdr:cNvPr id="36" name="Chart 35">
          <a:extLst>
            <a:ext uri="{FF2B5EF4-FFF2-40B4-BE49-F238E27FC236}">
              <a16:creationId xmlns:a16="http://schemas.microsoft.com/office/drawing/2014/main" id="{3BB5AB26-511D-48F6-A3C2-79538AA06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277651</xdr:colOff>
      <xdr:row>28</xdr:row>
      <xdr:rowOff>2080</xdr:rowOff>
    </xdr:from>
    <xdr:to>
      <xdr:col>17</xdr:col>
      <xdr:colOff>80851</xdr:colOff>
      <xdr:row>40</xdr:row>
      <xdr:rowOff>10550</xdr:rowOff>
    </xdr:to>
    <xdr:graphicFrame macro="">
      <xdr:nvGraphicFramePr>
        <xdr:cNvPr id="37" name="Chart 36">
          <a:extLst>
            <a:ext uri="{FF2B5EF4-FFF2-40B4-BE49-F238E27FC236}">
              <a16:creationId xmlns:a16="http://schemas.microsoft.com/office/drawing/2014/main" id="{D2B84358-99EC-452E-B8A6-C610C3724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325183</xdr:colOff>
      <xdr:row>27</xdr:row>
      <xdr:rowOff>170275</xdr:rowOff>
    </xdr:from>
    <xdr:to>
      <xdr:col>27</xdr:col>
      <xdr:colOff>342891</xdr:colOff>
      <xdr:row>40</xdr:row>
      <xdr:rowOff>6471</xdr:rowOff>
    </xdr:to>
    <mc:AlternateContent xmlns:mc="http://schemas.openxmlformats.org/markup-compatibility/2006" xmlns:a14="http://schemas.microsoft.com/office/drawing/2010/main">
      <mc:Choice Requires="a14">
        <xdr:graphicFrame macro="">
          <xdr:nvGraphicFramePr>
            <xdr:cNvPr id="38" name="Salesperson">
              <a:extLst>
                <a:ext uri="{FF2B5EF4-FFF2-40B4-BE49-F238E27FC236}">
                  <a16:creationId xmlns:a16="http://schemas.microsoft.com/office/drawing/2014/main" id="{395E8A16-1420-CF7A-57DB-5CEBD1CB0DD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4960065" y="5526687"/>
              <a:ext cx="1833061" cy="2312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475042</xdr:colOff>
      <xdr:row>28</xdr:row>
      <xdr:rowOff>6685</xdr:rowOff>
    </xdr:from>
    <xdr:to>
      <xdr:col>20</xdr:col>
      <xdr:colOff>492750</xdr:colOff>
      <xdr:row>40</xdr:row>
      <xdr:rowOff>13259</xdr:rowOff>
    </xdr:to>
    <mc:AlternateContent xmlns:mc="http://schemas.openxmlformats.org/markup-compatibility/2006" xmlns:a14="http://schemas.microsoft.com/office/drawing/2010/main">
      <mc:Choice Requires="a14">
        <xdr:graphicFrame macro="">
          <xdr:nvGraphicFramePr>
            <xdr:cNvPr id="39" name="Status">
              <a:extLst>
                <a:ext uri="{FF2B5EF4-FFF2-40B4-BE49-F238E27FC236}">
                  <a16:creationId xmlns:a16="http://schemas.microsoft.com/office/drawing/2014/main" id="{7E1287DC-AC43-8701-0CB5-BF4A57CC4C4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874101" y="5553597"/>
              <a:ext cx="1833061" cy="2292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117321</xdr:colOff>
      <xdr:row>27</xdr:row>
      <xdr:rowOff>190478</xdr:rowOff>
    </xdr:from>
    <xdr:to>
      <xdr:col>24</xdr:col>
      <xdr:colOff>135030</xdr:colOff>
      <xdr:row>40</xdr:row>
      <xdr:rowOff>13259</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891BDF0C-BCC9-E658-27DA-3924466EEE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36850" y="5546890"/>
              <a:ext cx="1833062" cy="2299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6118.768227199071" createdVersion="8" refreshedVersion="8" minRefreshableVersion="3" recordCount="501" xr:uid="{1728865B-8C2A-4F0F-8648-43CF9C4CDD3F}">
  <cacheSource type="worksheet">
    <worksheetSource ref="A1:Q1048576" sheet="Main Table"/>
  </cacheSource>
  <cacheFields count="17">
    <cacheField name="Lead ID" numFmtId="0">
      <sharedItems containsBlank="1" count="501">
        <s v="L001"/>
        <s v="L002"/>
        <s v="L003"/>
        <s v="L004"/>
        <s v="L005"/>
        <s v="L006"/>
        <s v="L007"/>
        <s v="L008"/>
        <s v="L009"/>
        <s v="L010"/>
        <s v="L011"/>
        <s v="L012"/>
        <s v="L013"/>
        <s v="L014"/>
        <s v="L015"/>
        <s v="L016"/>
        <s v="L017"/>
        <s v="L018"/>
        <s v="L019"/>
        <s v="L020"/>
        <s v="L021"/>
        <s v="L022"/>
        <s v="L023"/>
        <s v="L024"/>
        <s v="L025"/>
        <s v="L026"/>
        <s v="L027"/>
        <s v="L028"/>
        <s v="L029"/>
        <s v="L030"/>
        <s v="L031"/>
        <s v="L032"/>
        <s v="L033"/>
        <s v="L034"/>
        <s v="L035"/>
        <s v="L036"/>
        <s v="L037"/>
        <s v="L038"/>
        <s v="L039"/>
        <s v="L040"/>
        <s v="L041"/>
        <s v="L042"/>
        <s v="L043"/>
        <s v="L044"/>
        <s v="L045"/>
        <s v="L046"/>
        <s v="L047"/>
        <s v="L048"/>
        <s v="L049"/>
        <s v="L050"/>
        <s v="L051"/>
        <s v="L052"/>
        <s v="L053"/>
        <s v="L054"/>
        <s v="L055"/>
        <s v="L056"/>
        <s v="L057"/>
        <s v="L058"/>
        <s v="L059"/>
        <s v="L060"/>
        <s v="L061"/>
        <s v="L062"/>
        <s v="L063"/>
        <s v="L064"/>
        <s v="L065"/>
        <s v="L066"/>
        <s v="L067"/>
        <s v="L068"/>
        <s v="L069"/>
        <s v="L070"/>
        <s v="L071"/>
        <s v="L072"/>
        <s v="L073"/>
        <s v="L074"/>
        <s v="L075"/>
        <s v="L076"/>
        <s v="L077"/>
        <s v="L078"/>
        <s v="L079"/>
        <s v="L080"/>
        <s v="L081"/>
        <s v="L082"/>
        <s v="L083"/>
        <s v="L084"/>
        <s v="L085"/>
        <s v="L086"/>
        <s v="L087"/>
        <s v="L088"/>
        <s v="L089"/>
        <s v="L090"/>
        <s v="L091"/>
        <s v="L092"/>
        <s v="L093"/>
        <s v="L094"/>
        <s v="L095"/>
        <s v="L096"/>
        <s v="L097"/>
        <s v="L098"/>
        <s v="L099"/>
        <s v="L100"/>
        <s v="L101"/>
        <s v="L102"/>
        <s v="L103"/>
        <s v="L104"/>
        <s v="L105"/>
        <s v="L106"/>
        <s v="L107"/>
        <s v="L108"/>
        <s v="L109"/>
        <s v="L110"/>
        <s v="L111"/>
        <s v="L112"/>
        <s v="L113"/>
        <s v="L114"/>
        <s v="L115"/>
        <s v="L116"/>
        <s v="L117"/>
        <s v="L118"/>
        <s v="L119"/>
        <s v="L120"/>
        <s v="L121"/>
        <s v="L122"/>
        <s v="L123"/>
        <s v="L124"/>
        <s v="L125"/>
        <s v="L126"/>
        <s v="L127"/>
        <s v="L128"/>
        <s v="L129"/>
        <s v="L130"/>
        <s v="L131"/>
        <s v="L132"/>
        <s v="L133"/>
        <s v="L134"/>
        <s v="L135"/>
        <s v="L136"/>
        <s v="L137"/>
        <s v="L138"/>
        <s v="L139"/>
        <s v="L140"/>
        <s v="L141"/>
        <s v="L142"/>
        <s v="L143"/>
        <s v="L144"/>
        <s v="L145"/>
        <s v="L146"/>
        <s v="L147"/>
        <s v="L148"/>
        <s v="L149"/>
        <s v="L150"/>
        <s v="L151"/>
        <s v="L152"/>
        <s v="L153"/>
        <s v="L154"/>
        <s v="L155"/>
        <s v="L156"/>
        <s v="L157"/>
        <s v="L158"/>
        <s v="L159"/>
        <s v="L160"/>
        <s v="L161"/>
        <s v="L162"/>
        <s v="L163"/>
        <s v="L164"/>
        <s v="L165"/>
        <s v="L166"/>
        <s v="L167"/>
        <s v="L168"/>
        <s v="L169"/>
        <s v="L170"/>
        <s v="L171"/>
        <s v="L172"/>
        <s v="L173"/>
        <s v="L174"/>
        <s v="L175"/>
        <s v="L176"/>
        <s v="L177"/>
        <s v="L178"/>
        <s v="L179"/>
        <s v="L180"/>
        <s v="L181"/>
        <s v="L182"/>
        <s v="L183"/>
        <s v="L184"/>
        <s v="L185"/>
        <s v="L186"/>
        <s v="L187"/>
        <s v="L188"/>
        <s v="L189"/>
        <s v="L190"/>
        <s v="L191"/>
        <s v="L192"/>
        <s v="L193"/>
        <s v="L194"/>
        <s v="L195"/>
        <s v="L196"/>
        <s v="L197"/>
        <s v="L198"/>
        <s v="L199"/>
        <s v="L200"/>
        <s v="L201"/>
        <s v="L202"/>
        <s v="L203"/>
        <s v="L204"/>
        <s v="L205"/>
        <s v="L206"/>
        <s v="L207"/>
        <s v="L208"/>
        <s v="L209"/>
        <s v="L210"/>
        <s v="L211"/>
        <s v="L212"/>
        <s v="L213"/>
        <s v="L214"/>
        <s v="L215"/>
        <s v="L216"/>
        <s v="L217"/>
        <s v="L218"/>
        <s v="L219"/>
        <s v="L220"/>
        <s v="L221"/>
        <s v="L222"/>
        <s v="L223"/>
        <s v="L224"/>
        <s v="L225"/>
        <s v="L226"/>
        <s v="L227"/>
        <s v="L228"/>
        <s v="L229"/>
        <s v="L230"/>
        <s v="L231"/>
        <s v="L232"/>
        <s v="L233"/>
        <s v="L234"/>
        <s v="L235"/>
        <s v="L236"/>
        <s v="L237"/>
        <s v="L238"/>
        <s v="L239"/>
        <s v="L240"/>
        <s v="L241"/>
        <s v="L242"/>
        <s v="L243"/>
        <s v="L244"/>
        <s v="L245"/>
        <s v="L246"/>
        <s v="L247"/>
        <s v="L248"/>
        <s v="L249"/>
        <s v="L250"/>
        <s v="L251"/>
        <s v="L252"/>
        <s v="L253"/>
        <s v="L254"/>
        <s v="L255"/>
        <s v="L256"/>
        <s v="L257"/>
        <s v="L258"/>
        <s v="L259"/>
        <s v="L260"/>
        <s v="L261"/>
        <s v="L262"/>
        <s v="L263"/>
        <s v="L264"/>
        <s v="L265"/>
        <s v="L266"/>
        <s v="L267"/>
        <s v="L268"/>
        <s v="L269"/>
        <s v="L270"/>
        <s v="L271"/>
        <s v="L272"/>
        <s v="L273"/>
        <s v="L274"/>
        <s v="L275"/>
        <s v="L276"/>
        <s v="L277"/>
        <s v="L278"/>
        <s v="L279"/>
        <s v="L280"/>
        <s v="L281"/>
        <s v="L282"/>
        <s v="L283"/>
        <s v="L284"/>
        <s v="L285"/>
        <s v="L286"/>
        <s v="L287"/>
        <s v="L288"/>
        <s v="L289"/>
        <s v="L290"/>
        <s v="L291"/>
        <s v="L292"/>
        <s v="L293"/>
        <s v="L294"/>
        <s v="L295"/>
        <s v="L296"/>
        <s v="L297"/>
        <s v="L298"/>
        <s v="L299"/>
        <s v="L300"/>
        <s v="L301"/>
        <s v="L302"/>
        <s v="L303"/>
        <s v="L304"/>
        <s v="L305"/>
        <s v="L306"/>
        <s v="L307"/>
        <s v="L308"/>
        <s v="L309"/>
        <s v="L310"/>
        <s v="L311"/>
        <s v="L312"/>
        <s v="L313"/>
        <s v="L314"/>
        <s v="L315"/>
        <s v="L316"/>
        <s v="L317"/>
        <s v="L318"/>
        <s v="L319"/>
        <s v="L320"/>
        <s v="L321"/>
        <s v="L322"/>
        <s v="L323"/>
        <s v="L324"/>
        <s v="L325"/>
        <s v="L326"/>
        <s v="L327"/>
        <s v="L328"/>
        <s v="L329"/>
        <s v="L330"/>
        <s v="L331"/>
        <s v="L332"/>
        <s v="L333"/>
        <s v="L334"/>
        <s v="L335"/>
        <s v="L336"/>
        <s v="L337"/>
        <s v="L338"/>
        <s v="L339"/>
        <s v="L340"/>
        <s v="L341"/>
        <s v="L342"/>
        <s v="L343"/>
        <s v="L344"/>
        <s v="L345"/>
        <s v="L346"/>
        <s v="L347"/>
        <s v="L348"/>
        <s v="L349"/>
        <s v="L350"/>
        <s v="L351"/>
        <s v="L352"/>
        <s v="L353"/>
        <s v="L354"/>
        <s v="L355"/>
        <s v="L356"/>
        <s v="L357"/>
        <s v="L358"/>
        <s v="L359"/>
        <s v="L360"/>
        <s v="L361"/>
        <s v="L362"/>
        <s v="L363"/>
        <s v="L364"/>
        <s v="L365"/>
        <s v="L366"/>
        <s v="L367"/>
        <s v="L368"/>
        <s v="L369"/>
        <s v="L370"/>
        <s v="L371"/>
        <s v="L372"/>
        <s v="L373"/>
        <s v="L374"/>
        <s v="L375"/>
        <s v="L376"/>
        <s v="L377"/>
        <s v="L378"/>
        <s v="L379"/>
        <s v="L380"/>
        <s v="L381"/>
        <s v="L382"/>
        <s v="L383"/>
        <s v="L384"/>
        <s v="L385"/>
        <s v="L386"/>
        <s v="L387"/>
        <s v="L388"/>
        <s v="L389"/>
        <s v="L390"/>
        <s v="L391"/>
        <s v="L392"/>
        <s v="L393"/>
        <s v="L394"/>
        <s v="L395"/>
        <s v="L396"/>
        <s v="L397"/>
        <s v="L398"/>
        <s v="L399"/>
        <s v="L400"/>
        <s v="L401"/>
        <s v="L402"/>
        <s v="L403"/>
        <s v="L404"/>
        <s v="L405"/>
        <s v="L406"/>
        <s v="L407"/>
        <s v="L408"/>
        <s v="L409"/>
        <s v="L410"/>
        <s v="L411"/>
        <s v="L412"/>
        <s v="L413"/>
        <s v="L414"/>
        <s v="L415"/>
        <s v="L416"/>
        <s v="L417"/>
        <s v="L418"/>
        <s v="L419"/>
        <s v="L420"/>
        <s v="L421"/>
        <s v="L422"/>
        <s v="L423"/>
        <s v="L424"/>
        <s v="L425"/>
        <s v="L426"/>
        <s v="L427"/>
        <s v="L428"/>
        <s v="L429"/>
        <s v="L430"/>
        <s v="L431"/>
        <s v="L432"/>
        <s v="L433"/>
        <s v="L434"/>
        <s v="L435"/>
        <s v="L436"/>
        <s v="L437"/>
        <s v="L438"/>
        <s v="L439"/>
        <s v="L440"/>
        <s v="L441"/>
        <s v="L442"/>
        <s v="L443"/>
        <s v="L444"/>
        <s v="L445"/>
        <s v="L446"/>
        <s v="L447"/>
        <s v="L448"/>
        <s v="L449"/>
        <s v="L450"/>
        <s v="L451"/>
        <s v="L452"/>
        <s v="L453"/>
        <s v="L454"/>
        <s v="L455"/>
        <s v="L456"/>
        <s v="L457"/>
        <s v="L458"/>
        <s v="L459"/>
        <s v="L460"/>
        <s v="L461"/>
        <s v="L462"/>
        <s v="L463"/>
        <s v="L464"/>
        <s v="L465"/>
        <s v="L466"/>
        <s v="L467"/>
        <s v="L468"/>
        <s v="L469"/>
        <s v="L470"/>
        <s v="L471"/>
        <s v="L472"/>
        <s v="L473"/>
        <s v="L474"/>
        <s v="L475"/>
        <s v="L476"/>
        <s v="L477"/>
        <s v="L478"/>
        <s v="L479"/>
        <s v="L480"/>
        <s v="L481"/>
        <s v="L482"/>
        <s v="L483"/>
        <s v="L484"/>
        <s v="L485"/>
        <s v="L486"/>
        <s v="L487"/>
        <s v="L488"/>
        <s v="L489"/>
        <s v="L490"/>
        <s v="L491"/>
        <s v="L492"/>
        <s v="L493"/>
        <s v="L494"/>
        <s v="L495"/>
        <s v="L496"/>
        <s v="L497"/>
        <s v="L498"/>
        <s v="L499"/>
        <s v="L500"/>
        <m/>
      </sharedItems>
    </cacheField>
    <cacheField name="Date" numFmtId="0">
      <sharedItems containsString="0" containsBlank="1" containsNumber="1" containsInteger="1" minValue="1" maxValue="31"/>
    </cacheField>
    <cacheField name="Month" numFmtId="0">
      <sharedItems containsString="0" containsBlank="1" containsNumber="1" containsInteger="1" minValue="1" maxValue="4" count="5">
        <n v="1"/>
        <n v="3"/>
        <n v="2"/>
        <n v="4"/>
        <m/>
      </sharedItems>
    </cacheField>
    <cacheField name="Year" numFmtId="0">
      <sharedItems containsString="0" containsBlank="1" containsNumber="1" containsInteger="1" minValue="2026" maxValue="2026"/>
    </cacheField>
    <cacheField name="Lead Source" numFmtId="0">
      <sharedItems containsBlank="1" count="6">
        <s v="Website"/>
        <s v="Facebook"/>
        <s v="Referral"/>
        <s v="LinkedIn"/>
        <s v="Instagram"/>
        <m/>
      </sharedItems>
    </cacheField>
    <cacheField name="Product" numFmtId="0">
      <sharedItems containsBlank="1"/>
    </cacheField>
    <cacheField name="Salesperson" numFmtId="0">
      <sharedItems containsBlank="1" count="5">
        <s v="Sonal"/>
        <s v="Raj"/>
        <s v="Amit"/>
        <s v="Neha"/>
        <m/>
      </sharedItems>
    </cacheField>
    <cacheField name="Status" numFmtId="0">
      <sharedItems containsBlank="1" count="6">
        <s v="Won"/>
        <s v="Lost"/>
        <s v="New"/>
        <s v="Converted"/>
        <s v="Qualified"/>
        <m/>
      </sharedItems>
    </cacheField>
    <cacheField name="Deal Value" numFmtId="0">
      <sharedItems containsString="0" containsBlank="1" containsNumber="1" containsInteger="1" minValue="5077" maxValue="79838"/>
    </cacheField>
    <cacheField name="Follow-up Date" numFmtId="0">
      <sharedItems containsBlank="1"/>
    </cacheField>
    <cacheField name="Region" numFmtId="0">
      <sharedItems containsBlank="1" count="5">
        <s v="Pune"/>
        <s v="Nashik"/>
        <s v="Nagpur"/>
        <s v="Mumbai"/>
        <m/>
      </sharedItems>
    </cacheField>
    <cacheField name="Total Leads" numFmtId="0">
      <sharedItems containsString="0" containsBlank="1" containsNumber="1" containsInteger="1" minValue="500" maxValue="500"/>
    </cacheField>
    <cacheField name="Converted Leads" numFmtId="0">
      <sharedItems containsString="0" containsBlank="1" containsNumber="1" containsInteger="1" minValue="119" maxValue="119"/>
    </cacheField>
    <cacheField name="Lost Leads" numFmtId="0">
      <sharedItems containsString="0" containsBlank="1" containsNumber="1" containsInteger="1" minValue="86" maxValue="86"/>
    </cacheField>
    <cacheField name="Conversion Rate" numFmtId="0">
      <sharedItems containsString="0" containsBlank="1" containsNumber="1" minValue="0.23799999999999999" maxValue="0.23799999999999999"/>
    </cacheField>
    <cacheField name="Total Revenue" numFmtId="0">
      <sharedItems containsString="0" containsBlank="1" containsNumber="1" containsInteger="1" minValue="21185879" maxValue="21185879"/>
    </cacheField>
    <cacheField name="Average Deal Size" numFmtId="0">
      <sharedItems containsString="0" containsBlank="1" containsNumber="1" minValue="42371.758000000002" maxValue="42371.758000000002"/>
    </cacheField>
  </cacheFields>
  <extLst>
    <ext xmlns:x14="http://schemas.microsoft.com/office/spreadsheetml/2009/9/main" uri="{725AE2AE-9491-48be-B2B4-4EB974FC3084}">
      <x14:pivotCacheDefinition pivotCacheId="91556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n v="24"/>
    <x v="0"/>
    <n v="2026"/>
    <x v="0"/>
    <s v="Laptop"/>
    <x v="0"/>
    <x v="0"/>
    <n v="68150"/>
    <s v="27-01-2026"/>
    <x v="0"/>
    <n v="500"/>
    <n v="119"/>
    <n v="86"/>
    <n v="0.23799999999999999"/>
    <n v="21185879"/>
    <n v="42371.758000000002"/>
  </r>
  <r>
    <x v="1"/>
    <n v="3"/>
    <x v="0"/>
    <n v="2026"/>
    <x v="1"/>
    <s v="Tablet"/>
    <x v="1"/>
    <x v="0"/>
    <n v="66634"/>
    <s v="08-01-2026"/>
    <x v="1"/>
    <m/>
    <m/>
    <m/>
    <m/>
    <m/>
    <m/>
  </r>
  <r>
    <x v="2"/>
    <n v="26"/>
    <x v="0"/>
    <n v="2026"/>
    <x v="1"/>
    <s v="Accessories"/>
    <x v="2"/>
    <x v="1"/>
    <n v="30845"/>
    <s v="01-02-2026"/>
    <x v="2"/>
    <m/>
    <m/>
    <m/>
    <m/>
    <m/>
    <m/>
  </r>
  <r>
    <x v="3"/>
    <n v="5"/>
    <x v="1"/>
    <n v="2026"/>
    <x v="2"/>
    <s v="Laptop"/>
    <x v="1"/>
    <x v="1"/>
    <n v="26283"/>
    <s v="14-03-2026"/>
    <x v="0"/>
    <m/>
    <m/>
    <m/>
    <m/>
    <m/>
    <m/>
  </r>
  <r>
    <x v="4"/>
    <n v="28"/>
    <x v="1"/>
    <n v="2026"/>
    <x v="3"/>
    <s v="Mobile"/>
    <x v="0"/>
    <x v="2"/>
    <n v="15994"/>
    <s v="07-04-2026"/>
    <x v="3"/>
    <m/>
    <m/>
    <m/>
    <m/>
    <m/>
    <m/>
  </r>
  <r>
    <x v="5"/>
    <n v="14"/>
    <x v="2"/>
    <n v="2026"/>
    <x v="3"/>
    <s v="Laptop"/>
    <x v="3"/>
    <x v="3"/>
    <n v="50751"/>
    <s v="23-02-2026"/>
    <x v="1"/>
    <m/>
    <m/>
    <m/>
    <m/>
    <m/>
    <m/>
  </r>
  <r>
    <x v="6"/>
    <n v="6"/>
    <x v="2"/>
    <n v="2026"/>
    <x v="0"/>
    <s v="Tablet"/>
    <x v="1"/>
    <x v="3"/>
    <n v="40252"/>
    <s v="13-02-2026"/>
    <x v="2"/>
    <m/>
    <m/>
    <m/>
    <m/>
    <m/>
    <m/>
  </r>
  <r>
    <x v="7"/>
    <n v="19"/>
    <x v="2"/>
    <n v="2026"/>
    <x v="1"/>
    <s v="Laptop"/>
    <x v="0"/>
    <x v="2"/>
    <n v="63599"/>
    <s v="24-02-2026"/>
    <x v="2"/>
    <m/>
    <m/>
    <m/>
    <m/>
    <m/>
    <m/>
  </r>
  <r>
    <x v="8"/>
    <n v="8"/>
    <x v="1"/>
    <n v="2026"/>
    <x v="2"/>
    <s v="Mobile"/>
    <x v="2"/>
    <x v="2"/>
    <n v="15528"/>
    <s v="11-03-2026"/>
    <x v="1"/>
    <m/>
    <m/>
    <m/>
    <m/>
    <m/>
    <m/>
  </r>
  <r>
    <x v="9"/>
    <n v="13"/>
    <x v="1"/>
    <n v="2026"/>
    <x v="0"/>
    <s v="Mobile"/>
    <x v="0"/>
    <x v="1"/>
    <n v="53633"/>
    <s v="16-03-2026"/>
    <x v="3"/>
    <m/>
    <m/>
    <m/>
    <m/>
    <m/>
    <m/>
  </r>
  <r>
    <x v="10"/>
    <n v="28"/>
    <x v="0"/>
    <n v="2026"/>
    <x v="4"/>
    <s v="Accessories"/>
    <x v="0"/>
    <x v="4"/>
    <n v="7577"/>
    <s v="05-02-2026"/>
    <x v="1"/>
    <m/>
    <m/>
    <m/>
    <m/>
    <m/>
    <m/>
  </r>
  <r>
    <x v="11"/>
    <n v="7"/>
    <x v="1"/>
    <n v="2026"/>
    <x v="4"/>
    <s v="Laptop"/>
    <x v="3"/>
    <x v="4"/>
    <n v="15056"/>
    <s v="12-03-2026"/>
    <x v="1"/>
    <m/>
    <m/>
    <m/>
    <m/>
    <m/>
    <m/>
  </r>
  <r>
    <x v="12"/>
    <n v="30"/>
    <x v="1"/>
    <n v="2026"/>
    <x v="2"/>
    <s v="Accessories"/>
    <x v="1"/>
    <x v="0"/>
    <n v="11053"/>
    <s v="09-04-2026"/>
    <x v="0"/>
    <m/>
    <m/>
    <m/>
    <m/>
    <m/>
    <m/>
  </r>
  <r>
    <x v="13"/>
    <n v="16"/>
    <x v="1"/>
    <n v="2026"/>
    <x v="2"/>
    <s v="Accessories"/>
    <x v="2"/>
    <x v="1"/>
    <n v="17807"/>
    <s v="23-03-2026"/>
    <x v="3"/>
    <m/>
    <m/>
    <m/>
    <m/>
    <m/>
    <m/>
  </r>
  <r>
    <x v="14"/>
    <n v="1"/>
    <x v="3"/>
    <n v="2026"/>
    <x v="0"/>
    <s v="Mobile"/>
    <x v="2"/>
    <x v="4"/>
    <n v="67072"/>
    <s v="11-04-2026"/>
    <x v="2"/>
    <m/>
    <m/>
    <m/>
    <m/>
    <m/>
    <m/>
  </r>
  <r>
    <x v="15"/>
    <n v="24"/>
    <x v="2"/>
    <n v="2026"/>
    <x v="4"/>
    <s v="Accessories"/>
    <x v="0"/>
    <x v="1"/>
    <n v="49123"/>
    <s v="04-03-2026"/>
    <x v="0"/>
    <m/>
    <m/>
    <m/>
    <m/>
    <m/>
    <m/>
  </r>
  <r>
    <x v="16"/>
    <n v="12"/>
    <x v="2"/>
    <n v="2026"/>
    <x v="3"/>
    <s v="Laptop"/>
    <x v="2"/>
    <x v="4"/>
    <n v="34669"/>
    <s v="14-02-2026"/>
    <x v="0"/>
    <m/>
    <m/>
    <m/>
    <m/>
    <m/>
    <m/>
  </r>
  <r>
    <x v="17"/>
    <n v="23"/>
    <x v="0"/>
    <n v="2026"/>
    <x v="2"/>
    <s v="Mobile"/>
    <x v="3"/>
    <x v="2"/>
    <n v="69449"/>
    <s v="28-01-2026"/>
    <x v="0"/>
    <m/>
    <m/>
    <m/>
    <m/>
    <m/>
    <m/>
  </r>
  <r>
    <x v="18"/>
    <n v="25"/>
    <x v="0"/>
    <n v="2026"/>
    <x v="3"/>
    <s v="Laptop"/>
    <x v="0"/>
    <x v="0"/>
    <n v="60690"/>
    <s v="31-01-2026"/>
    <x v="0"/>
    <m/>
    <m/>
    <m/>
    <m/>
    <m/>
    <m/>
  </r>
  <r>
    <x v="19"/>
    <n v="6"/>
    <x v="1"/>
    <n v="2026"/>
    <x v="0"/>
    <s v="Accessories"/>
    <x v="1"/>
    <x v="0"/>
    <n v="16639"/>
    <s v="14-03-2026"/>
    <x v="1"/>
    <m/>
    <m/>
    <m/>
    <m/>
    <m/>
    <m/>
  </r>
  <r>
    <x v="20"/>
    <n v="16"/>
    <x v="1"/>
    <n v="2026"/>
    <x v="0"/>
    <s v="Laptop"/>
    <x v="0"/>
    <x v="3"/>
    <n v="31877"/>
    <s v="19-03-2026"/>
    <x v="2"/>
    <m/>
    <m/>
    <m/>
    <m/>
    <m/>
    <m/>
  </r>
  <r>
    <x v="21"/>
    <n v="7"/>
    <x v="0"/>
    <n v="2026"/>
    <x v="3"/>
    <s v="Mobile"/>
    <x v="3"/>
    <x v="4"/>
    <n v="7309"/>
    <s v="08-01-2026"/>
    <x v="1"/>
    <m/>
    <m/>
    <m/>
    <m/>
    <m/>
    <m/>
  </r>
  <r>
    <x v="22"/>
    <n v="7"/>
    <x v="2"/>
    <n v="2026"/>
    <x v="4"/>
    <s v="Accessories"/>
    <x v="1"/>
    <x v="4"/>
    <n v="35351"/>
    <s v="09-02-2026"/>
    <x v="3"/>
    <m/>
    <m/>
    <m/>
    <m/>
    <m/>
    <m/>
  </r>
  <r>
    <x v="23"/>
    <n v="21"/>
    <x v="2"/>
    <n v="2026"/>
    <x v="3"/>
    <s v="Accessories"/>
    <x v="3"/>
    <x v="3"/>
    <n v="14515"/>
    <s v="03-03-2026"/>
    <x v="1"/>
    <m/>
    <m/>
    <m/>
    <m/>
    <m/>
    <m/>
  </r>
  <r>
    <x v="24"/>
    <n v="27"/>
    <x v="2"/>
    <n v="2026"/>
    <x v="3"/>
    <s v="Mobile"/>
    <x v="0"/>
    <x v="1"/>
    <n v="31472"/>
    <s v="05-03-2026"/>
    <x v="3"/>
    <m/>
    <m/>
    <m/>
    <m/>
    <m/>
    <m/>
  </r>
  <r>
    <x v="25"/>
    <n v="21"/>
    <x v="1"/>
    <n v="2026"/>
    <x v="4"/>
    <s v="Mobile"/>
    <x v="1"/>
    <x v="0"/>
    <n v="73539"/>
    <s v="26-03-2026"/>
    <x v="2"/>
    <m/>
    <m/>
    <m/>
    <m/>
    <m/>
    <m/>
  </r>
  <r>
    <x v="26"/>
    <n v="23"/>
    <x v="1"/>
    <n v="2026"/>
    <x v="1"/>
    <s v="Tablet"/>
    <x v="3"/>
    <x v="2"/>
    <n v="54483"/>
    <s v="29-03-2026"/>
    <x v="3"/>
    <m/>
    <m/>
    <m/>
    <m/>
    <m/>
    <m/>
  </r>
  <r>
    <x v="27"/>
    <n v="14"/>
    <x v="1"/>
    <n v="2026"/>
    <x v="4"/>
    <s v="Accessories"/>
    <x v="2"/>
    <x v="3"/>
    <n v="49452"/>
    <s v="21-03-2026"/>
    <x v="3"/>
    <m/>
    <m/>
    <m/>
    <m/>
    <m/>
    <m/>
  </r>
  <r>
    <x v="28"/>
    <n v="25"/>
    <x v="0"/>
    <n v="2026"/>
    <x v="2"/>
    <s v="Mobile"/>
    <x v="0"/>
    <x v="3"/>
    <n v="52270"/>
    <s v="27-01-2026"/>
    <x v="1"/>
    <m/>
    <m/>
    <m/>
    <m/>
    <m/>
    <m/>
  </r>
  <r>
    <x v="29"/>
    <n v="16"/>
    <x v="1"/>
    <n v="2026"/>
    <x v="3"/>
    <s v="Tablet"/>
    <x v="3"/>
    <x v="0"/>
    <n v="74976"/>
    <s v="21-03-2026"/>
    <x v="1"/>
    <m/>
    <m/>
    <m/>
    <m/>
    <m/>
    <m/>
  </r>
  <r>
    <x v="30"/>
    <n v="3"/>
    <x v="2"/>
    <n v="2026"/>
    <x v="0"/>
    <s v="Laptop"/>
    <x v="2"/>
    <x v="3"/>
    <n v="21986"/>
    <s v="06-02-2026"/>
    <x v="3"/>
    <m/>
    <m/>
    <m/>
    <m/>
    <m/>
    <m/>
  </r>
  <r>
    <x v="31"/>
    <n v="13"/>
    <x v="2"/>
    <n v="2026"/>
    <x v="1"/>
    <s v="Laptop"/>
    <x v="3"/>
    <x v="3"/>
    <n v="70638"/>
    <s v="19-02-2026"/>
    <x v="1"/>
    <m/>
    <m/>
    <m/>
    <m/>
    <m/>
    <m/>
  </r>
  <r>
    <x v="32"/>
    <n v="24"/>
    <x v="2"/>
    <n v="2026"/>
    <x v="3"/>
    <s v="Tablet"/>
    <x v="1"/>
    <x v="4"/>
    <n v="52190"/>
    <s v="03-03-2026"/>
    <x v="0"/>
    <m/>
    <m/>
    <m/>
    <m/>
    <m/>
    <m/>
  </r>
  <r>
    <x v="33"/>
    <n v="25"/>
    <x v="1"/>
    <n v="2026"/>
    <x v="0"/>
    <s v="Mobile"/>
    <x v="2"/>
    <x v="0"/>
    <n v="38729"/>
    <s v="29-03-2026"/>
    <x v="0"/>
    <m/>
    <m/>
    <m/>
    <m/>
    <m/>
    <m/>
  </r>
  <r>
    <x v="34"/>
    <n v="8"/>
    <x v="1"/>
    <n v="2026"/>
    <x v="0"/>
    <s v="Mobile"/>
    <x v="3"/>
    <x v="0"/>
    <n v="16712"/>
    <s v="15-03-2026"/>
    <x v="3"/>
    <m/>
    <m/>
    <m/>
    <m/>
    <m/>
    <m/>
  </r>
  <r>
    <x v="35"/>
    <n v="30"/>
    <x v="0"/>
    <n v="2026"/>
    <x v="1"/>
    <s v="Laptop"/>
    <x v="3"/>
    <x v="3"/>
    <n v="72769"/>
    <s v="06-02-2026"/>
    <x v="0"/>
    <m/>
    <m/>
    <m/>
    <m/>
    <m/>
    <m/>
  </r>
  <r>
    <x v="36"/>
    <n v="5"/>
    <x v="2"/>
    <n v="2026"/>
    <x v="4"/>
    <s v="Accessories"/>
    <x v="2"/>
    <x v="0"/>
    <n v="70125"/>
    <s v="12-02-2026"/>
    <x v="1"/>
    <m/>
    <m/>
    <m/>
    <m/>
    <m/>
    <m/>
  </r>
  <r>
    <x v="37"/>
    <n v="20"/>
    <x v="1"/>
    <n v="2026"/>
    <x v="3"/>
    <s v="Tablet"/>
    <x v="3"/>
    <x v="0"/>
    <n v="18790"/>
    <s v="26-03-2026"/>
    <x v="3"/>
    <m/>
    <m/>
    <m/>
    <m/>
    <m/>
    <m/>
  </r>
  <r>
    <x v="38"/>
    <n v="23"/>
    <x v="0"/>
    <n v="2026"/>
    <x v="1"/>
    <s v="Mobile"/>
    <x v="2"/>
    <x v="0"/>
    <n v="51716"/>
    <s v="26-01-2026"/>
    <x v="2"/>
    <m/>
    <m/>
    <m/>
    <m/>
    <m/>
    <m/>
  </r>
  <r>
    <x v="39"/>
    <n v="27"/>
    <x v="2"/>
    <n v="2026"/>
    <x v="3"/>
    <s v="Mobile"/>
    <x v="3"/>
    <x v="2"/>
    <n v="74304"/>
    <s v="02-03-2026"/>
    <x v="2"/>
    <m/>
    <m/>
    <m/>
    <m/>
    <m/>
    <m/>
  </r>
  <r>
    <x v="40"/>
    <n v="19"/>
    <x v="1"/>
    <n v="2026"/>
    <x v="1"/>
    <s v="Mobile"/>
    <x v="3"/>
    <x v="2"/>
    <n v="24139"/>
    <s v="28-03-2026"/>
    <x v="3"/>
    <m/>
    <m/>
    <m/>
    <m/>
    <m/>
    <m/>
  </r>
  <r>
    <x v="41"/>
    <n v="17"/>
    <x v="2"/>
    <n v="2026"/>
    <x v="1"/>
    <s v="Laptop"/>
    <x v="1"/>
    <x v="0"/>
    <n v="38861"/>
    <s v="24-02-2026"/>
    <x v="0"/>
    <m/>
    <m/>
    <m/>
    <m/>
    <m/>
    <m/>
  </r>
  <r>
    <x v="42"/>
    <n v="7"/>
    <x v="1"/>
    <n v="2026"/>
    <x v="4"/>
    <s v="Laptop"/>
    <x v="1"/>
    <x v="4"/>
    <n v="30665"/>
    <s v="13-03-2026"/>
    <x v="2"/>
    <m/>
    <m/>
    <m/>
    <m/>
    <m/>
    <m/>
  </r>
  <r>
    <x v="43"/>
    <n v="5"/>
    <x v="1"/>
    <n v="2026"/>
    <x v="2"/>
    <s v="Mobile"/>
    <x v="0"/>
    <x v="0"/>
    <n v="38609"/>
    <s v="14-03-2026"/>
    <x v="0"/>
    <m/>
    <m/>
    <m/>
    <m/>
    <m/>
    <m/>
  </r>
  <r>
    <x v="44"/>
    <n v="20"/>
    <x v="2"/>
    <n v="2026"/>
    <x v="2"/>
    <s v="Laptop"/>
    <x v="1"/>
    <x v="0"/>
    <n v="54367"/>
    <s v="01-03-2026"/>
    <x v="1"/>
    <m/>
    <m/>
    <m/>
    <m/>
    <m/>
    <m/>
  </r>
  <r>
    <x v="45"/>
    <n v="2"/>
    <x v="2"/>
    <n v="2026"/>
    <x v="1"/>
    <s v="Laptop"/>
    <x v="1"/>
    <x v="1"/>
    <n v="17113"/>
    <s v="08-02-2026"/>
    <x v="3"/>
    <m/>
    <m/>
    <m/>
    <m/>
    <m/>
    <m/>
  </r>
  <r>
    <x v="46"/>
    <n v="18"/>
    <x v="1"/>
    <n v="2026"/>
    <x v="2"/>
    <s v="Mobile"/>
    <x v="3"/>
    <x v="1"/>
    <n v="56055"/>
    <s v="26-03-2026"/>
    <x v="0"/>
    <m/>
    <m/>
    <m/>
    <m/>
    <m/>
    <m/>
  </r>
  <r>
    <x v="47"/>
    <n v="9"/>
    <x v="2"/>
    <n v="2026"/>
    <x v="0"/>
    <s v="Tablet"/>
    <x v="0"/>
    <x v="3"/>
    <n v="39907"/>
    <s v="10-02-2026"/>
    <x v="1"/>
    <m/>
    <m/>
    <m/>
    <m/>
    <m/>
    <m/>
  </r>
  <r>
    <x v="48"/>
    <n v="14"/>
    <x v="0"/>
    <n v="2026"/>
    <x v="2"/>
    <s v="Accessories"/>
    <x v="2"/>
    <x v="2"/>
    <n v="55365"/>
    <s v="15-01-2026"/>
    <x v="1"/>
    <m/>
    <m/>
    <m/>
    <m/>
    <m/>
    <m/>
  </r>
  <r>
    <x v="49"/>
    <n v="23"/>
    <x v="1"/>
    <n v="2026"/>
    <x v="3"/>
    <s v="Accessories"/>
    <x v="3"/>
    <x v="1"/>
    <n v="77100"/>
    <s v="01-04-2026"/>
    <x v="1"/>
    <m/>
    <m/>
    <m/>
    <m/>
    <m/>
    <m/>
  </r>
  <r>
    <x v="50"/>
    <n v="16"/>
    <x v="0"/>
    <n v="2026"/>
    <x v="1"/>
    <s v="Laptop"/>
    <x v="2"/>
    <x v="3"/>
    <n v="42461"/>
    <s v="18-01-2026"/>
    <x v="2"/>
    <m/>
    <m/>
    <m/>
    <m/>
    <m/>
    <m/>
  </r>
  <r>
    <x v="51"/>
    <n v="27"/>
    <x v="2"/>
    <n v="2026"/>
    <x v="1"/>
    <s v="Laptop"/>
    <x v="1"/>
    <x v="1"/>
    <n v="9479"/>
    <s v="06-03-2026"/>
    <x v="2"/>
    <m/>
    <m/>
    <m/>
    <m/>
    <m/>
    <m/>
  </r>
  <r>
    <x v="52"/>
    <n v="28"/>
    <x v="1"/>
    <n v="2026"/>
    <x v="0"/>
    <s v="Accessories"/>
    <x v="1"/>
    <x v="1"/>
    <n v="47889"/>
    <s v="01-04-2026"/>
    <x v="1"/>
    <m/>
    <m/>
    <m/>
    <m/>
    <m/>
    <m/>
  </r>
  <r>
    <x v="53"/>
    <n v="13"/>
    <x v="2"/>
    <n v="2026"/>
    <x v="2"/>
    <s v="Laptop"/>
    <x v="3"/>
    <x v="4"/>
    <n v="46975"/>
    <s v="19-02-2026"/>
    <x v="1"/>
    <m/>
    <m/>
    <m/>
    <m/>
    <m/>
    <m/>
  </r>
  <r>
    <x v="54"/>
    <n v="11"/>
    <x v="1"/>
    <n v="2026"/>
    <x v="4"/>
    <s v="Laptop"/>
    <x v="1"/>
    <x v="2"/>
    <n v="23140"/>
    <s v="14-03-2026"/>
    <x v="3"/>
    <m/>
    <m/>
    <m/>
    <m/>
    <m/>
    <m/>
  </r>
  <r>
    <x v="55"/>
    <n v="7"/>
    <x v="2"/>
    <n v="2026"/>
    <x v="1"/>
    <s v="Laptop"/>
    <x v="1"/>
    <x v="1"/>
    <n v="40373"/>
    <s v="08-02-2026"/>
    <x v="0"/>
    <m/>
    <m/>
    <m/>
    <m/>
    <m/>
    <m/>
  </r>
  <r>
    <x v="56"/>
    <n v="14"/>
    <x v="1"/>
    <n v="2026"/>
    <x v="2"/>
    <s v="Tablet"/>
    <x v="0"/>
    <x v="3"/>
    <n v="68961"/>
    <s v="19-03-2026"/>
    <x v="2"/>
    <m/>
    <m/>
    <m/>
    <m/>
    <m/>
    <m/>
  </r>
  <r>
    <x v="57"/>
    <n v="6"/>
    <x v="2"/>
    <n v="2026"/>
    <x v="2"/>
    <s v="Tablet"/>
    <x v="3"/>
    <x v="4"/>
    <n v="11740"/>
    <s v="12-02-2026"/>
    <x v="2"/>
    <m/>
    <m/>
    <m/>
    <m/>
    <m/>
    <m/>
  </r>
  <r>
    <x v="58"/>
    <n v="27"/>
    <x v="2"/>
    <n v="2026"/>
    <x v="0"/>
    <s v="Accessories"/>
    <x v="3"/>
    <x v="4"/>
    <n v="21518"/>
    <s v="02-03-2026"/>
    <x v="0"/>
    <m/>
    <m/>
    <m/>
    <m/>
    <m/>
    <m/>
  </r>
  <r>
    <x v="59"/>
    <n v="20"/>
    <x v="2"/>
    <n v="2026"/>
    <x v="3"/>
    <s v="Mobile"/>
    <x v="2"/>
    <x v="4"/>
    <n v="18129"/>
    <s v="26-02-2026"/>
    <x v="1"/>
    <m/>
    <m/>
    <m/>
    <m/>
    <m/>
    <m/>
  </r>
  <r>
    <x v="60"/>
    <n v="17"/>
    <x v="0"/>
    <n v="2026"/>
    <x v="2"/>
    <s v="Tablet"/>
    <x v="1"/>
    <x v="3"/>
    <n v="65567"/>
    <s v="27-01-2026"/>
    <x v="0"/>
    <m/>
    <m/>
    <m/>
    <m/>
    <m/>
    <m/>
  </r>
  <r>
    <x v="61"/>
    <n v="11"/>
    <x v="0"/>
    <n v="2026"/>
    <x v="4"/>
    <s v="Laptop"/>
    <x v="2"/>
    <x v="3"/>
    <n v="72178"/>
    <s v="12-01-2026"/>
    <x v="2"/>
    <m/>
    <m/>
    <m/>
    <m/>
    <m/>
    <m/>
  </r>
  <r>
    <x v="62"/>
    <n v="24"/>
    <x v="2"/>
    <n v="2026"/>
    <x v="2"/>
    <s v="Laptop"/>
    <x v="0"/>
    <x v="4"/>
    <n v="32675"/>
    <s v="02-03-2026"/>
    <x v="3"/>
    <m/>
    <m/>
    <m/>
    <m/>
    <m/>
    <m/>
  </r>
  <r>
    <x v="63"/>
    <n v="3"/>
    <x v="1"/>
    <n v="2026"/>
    <x v="3"/>
    <s v="Laptop"/>
    <x v="1"/>
    <x v="0"/>
    <n v="5077"/>
    <s v="05-03-2026"/>
    <x v="3"/>
    <m/>
    <m/>
    <m/>
    <m/>
    <m/>
    <m/>
  </r>
  <r>
    <x v="64"/>
    <n v="25"/>
    <x v="2"/>
    <n v="2026"/>
    <x v="4"/>
    <s v="Tablet"/>
    <x v="0"/>
    <x v="3"/>
    <n v="76678"/>
    <s v="05-03-2026"/>
    <x v="3"/>
    <m/>
    <m/>
    <m/>
    <m/>
    <m/>
    <m/>
  </r>
  <r>
    <x v="65"/>
    <n v="7"/>
    <x v="1"/>
    <n v="2026"/>
    <x v="3"/>
    <s v="Laptop"/>
    <x v="3"/>
    <x v="1"/>
    <n v="53541"/>
    <s v="15-03-2026"/>
    <x v="2"/>
    <m/>
    <m/>
    <m/>
    <m/>
    <m/>
    <m/>
  </r>
  <r>
    <x v="66"/>
    <n v="25"/>
    <x v="2"/>
    <n v="2026"/>
    <x v="0"/>
    <s v="Tablet"/>
    <x v="2"/>
    <x v="4"/>
    <n v="72561"/>
    <s v="07-03-2026"/>
    <x v="1"/>
    <m/>
    <m/>
    <m/>
    <m/>
    <m/>
    <m/>
  </r>
  <r>
    <x v="67"/>
    <n v="21"/>
    <x v="1"/>
    <n v="2026"/>
    <x v="2"/>
    <s v="Tablet"/>
    <x v="2"/>
    <x v="1"/>
    <n v="64529"/>
    <s v="22-03-2026"/>
    <x v="1"/>
    <m/>
    <m/>
    <m/>
    <m/>
    <m/>
    <m/>
  </r>
  <r>
    <x v="68"/>
    <n v="30"/>
    <x v="0"/>
    <n v="2026"/>
    <x v="0"/>
    <s v="Laptop"/>
    <x v="1"/>
    <x v="0"/>
    <n v="53014"/>
    <s v="04-02-2026"/>
    <x v="3"/>
    <m/>
    <m/>
    <m/>
    <m/>
    <m/>
    <m/>
  </r>
  <r>
    <x v="69"/>
    <n v="17"/>
    <x v="2"/>
    <n v="2026"/>
    <x v="1"/>
    <s v="Tablet"/>
    <x v="2"/>
    <x v="2"/>
    <n v="38443"/>
    <s v="22-02-2026"/>
    <x v="1"/>
    <m/>
    <m/>
    <m/>
    <m/>
    <m/>
    <m/>
  </r>
  <r>
    <x v="70"/>
    <n v="6"/>
    <x v="0"/>
    <n v="2026"/>
    <x v="2"/>
    <s v="Tablet"/>
    <x v="3"/>
    <x v="0"/>
    <n v="39612"/>
    <s v="12-01-2026"/>
    <x v="3"/>
    <m/>
    <m/>
    <m/>
    <m/>
    <m/>
    <m/>
  </r>
  <r>
    <x v="71"/>
    <n v="2"/>
    <x v="1"/>
    <n v="2026"/>
    <x v="1"/>
    <s v="Accessories"/>
    <x v="0"/>
    <x v="2"/>
    <n v="9011"/>
    <s v="11-03-2026"/>
    <x v="1"/>
    <m/>
    <m/>
    <m/>
    <m/>
    <m/>
    <m/>
  </r>
  <r>
    <x v="72"/>
    <n v="1"/>
    <x v="0"/>
    <n v="2026"/>
    <x v="2"/>
    <s v="Tablet"/>
    <x v="0"/>
    <x v="4"/>
    <n v="76740"/>
    <s v="05-01-2026"/>
    <x v="1"/>
    <m/>
    <m/>
    <m/>
    <m/>
    <m/>
    <m/>
  </r>
  <r>
    <x v="73"/>
    <n v="5"/>
    <x v="2"/>
    <n v="2026"/>
    <x v="2"/>
    <s v="Mobile"/>
    <x v="2"/>
    <x v="2"/>
    <n v="56174"/>
    <s v="12-02-2026"/>
    <x v="0"/>
    <m/>
    <m/>
    <m/>
    <m/>
    <m/>
    <m/>
  </r>
  <r>
    <x v="74"/>
    <n v="26"/>
    <x v="2"/>
    <n v="2026"/>
    <x v="2"/>
    <s v="Laptop"/>
    <x v="3"/>
    <x v="3"/>
    <n v="39007"/>
    <s v="07-03-2026"/>
    <x v="2"/>
    <m/>
    <m/>
    <m/>
    <m/>
    <m/>
    <m/>
  </r>
  <r>
    <x v="75"/>
    <n v="15"/>
    <x v="1"/>
    <n v="2026"/>
    <x v="0"/>
    <s v="Laptop"/>
    <x v="2"/>
    <x v="4"/>
    <n v="61074"/>
    <s v="22-03-2026"/>
    <x v="1"/>
    <m/>
    <m/>
    <m/>
    <m/>
    <m/>
    <m/>
  </r>
  <r>
    <x v="76"/>
    <n v="16"/>
    <x v="0"/>
    <n v="2026"/>
    <x v="4"/>
    <s v="Tablet"/>
    <x v="1"/>
    <x v="0"/>
    <n v="14754"/>
    <s v="23-01-2026"/>
    <x v="1"/>
    <m/>
    <m/>
    <m/>
    <m/>
    <m/>
    <m/>
  </r>
  <r>
    <x v="77"/>
    <n v="11"/>
    <x v="0"/>
    <n v="2026"/>
    <x v="1"/>
    <s v="Accessories"/>
    <x v="3"/>
    <x v="2"/>
    <n v="5339"/>
    <s v="21-01-2026"/>
    <x v="3"/>
    <m/>
    <m/>
    <m/>
    <m/>
    <m/>
    <m/>
  </r>
  <r>
    <x v="78"/>
    <n v="22"/>
    <x v="2"/>
    <n v="2026"/>
    <x v="0"/>
    <s v="Accessories"/>
    <x v="2"/>
    <x v="1"/>
    <n v="61520"/>
    <s v="23-02-2026"/>
    <x v="0"/>
    <m/>
    <m/>
    <m/>
    <m/>
    <m/>
    <m/>
  </r>
  <r>
    <x v="79"/>
    <n v="6"/>
    <x v="0"/>
    <n v="2026"/>
    <x v="3"/>
    <s v="Tablet"/>
    <x v="3"/>
    <x v="4"/>
    <n v="5717"/>
    <s v="16-01-2026"/>
    <x v="2"/>
    <m/>
    <m/>
    <m/>
    <m/>
    <m/>
    <m/>
  </r>
  <r>
    <x v="80"/>
    <n v="29"/>
    <x v="1"/>
    <n v="2026"/>
    <x v="1"/>
    <s v="Tablet"/>
    <x v="3"/>
    <x v="0"/>
    <n v="7589"/>
    <s v="06-04-2026"/>
    <x v="2"/>
    <m/>
    <m/>
    <m/>
    <m/>
    <m/>
    <m/>
  </r>
  <r>
    <x v="81"/>
    <n v="16"/>
    <x v="2"/>
    <n v="2026"/>
    <x v="4"/>
    <s v="Laptop"/>
    <x v="1"/>
    <x v="4"/>
    <n v="13678"/>
    <s v="21-02-2026"/>
    <x v="0"/>
    <m/>
    <m/>
    <m/>
    <m/>
    <m/>
    <m/>
  </r>
  <r>
    <x v="82"/>
    <n v="16"/>
    <x v="2"/>
    <n v="2026"/>
    <x v="2"/>
    <s v="Laptop"/>
    <x v="3"/>
    <x v="0"/>
    <n v="19837"/>
    <s v="23-02-2026"/>
    <x v="0"/>
    <m/>
    <m/>
    <m/>
    <m/>
    <m/>
    <m/>
  </r>
  <r>
    <x v="83"/>
    <n v="25"/>
    <x v="1"/>
    <n v="2026"/>
    <x v="3"/>
    <s v="Tablet"/>
    <x v="0"/>
    <x v="4"/>
    <n v="26814"/>
    <s v="28-03-2026"/>
    <x v="0"/>
    <m/>
    <m/>
    <m/>
    <m/>
    <m/>
    <m/>
  </r>
  <r>
    <x v="84"/>
    <n v="18"/>
    <x v="1"/>
    <n v="2026"/>
    <x v="3"/>
    <s v="Accessories"/>
    <x v="0"/>
    <x v="3"/>
    <n v="20482"/>
    <s v="20-03-2026"/>
    <x v="0"/>
    <m/>
    <m/>
    <m/>
    <m/>
    <m/>
    <m/>
  </r>
  <r>
    <x v="85"/>
    <n v="9"/>
    <x v="2"/>
    <n v="2026"/>
    <x v="3"/>
    <s v="Laptop"/>
    <x v="0"/>
    <x v="3"/>
    <n v="38033"/>
    <s v="15-02-2026"/>
    <x v="0"/>
    <m/>
    <m/>
    <m/>
    <m/>
    <m/>
    <m/>
  </r>
  <r>
    <x v="86"/>
    <n v="10"/>
    <x v="1"/>
    <n v="2026"/>
    <x v="2"/>
    <s v="Laptop"/>
    <x v="2"/>
    <x v="0"/>
    <n v="25215"/>
    <s v="19-03-2026"/>
    <x v="1"/>
    <m/>
    <m/>
    <m/>
    <m/>
    <m/>
    <m/>
  </r>
  <r>
    <x v="87"/>
    <n v="24"/>
    <x v="2"/>
    <n v="2026"/>
    <x v="0"/>
    <s v="Accessories"/>
    <x v="2"/>
    <x v="2"/>
    <n v="33052"/>
    <s v="04-03-2026"/>
    <x v="1"/>
    <m/>
    <m/>
    <m/>
    <m/>
    <m/>
    <m/>
  </r>
  <r>
    <x v="88"/>
    <n v="6"/>
    <x v="0"/>
    <n v="2026"/>
    <x v="4"/>
    <s v="Tablet"/>
    <x v="0"/>
    <x v="0"/>
    <n v="27778"/>
    <s v="09-01-2026"/>
    <x v="3"/>
    <m/>
    <m/>
    <m/>
    <m/>
    <m/>
    <m/>
  </r>
  <r>
    <x v="89"/>
    <n v="30"/>
    <x v="0"/>
    <n v="2026"/>
    <x v="1"/>
    <s v="Mobile"/>
    <x v="3"/>
    <x v="0"/>
    <n v="16426"/>
    <s v="31-01-2026"/>
    <x v="1"/>
    <m/>
    <m/>
    <m/>
    <m/>
    <m/>
    <m/>
  </r>
  <r>
    <x v="90"/>
    <n v="1"/>
    <x v="2"/>
    <n v="2026"/>
    <x v="2"/>
    <s v="Tablet"/>
    <x v="3"/>
    <x v="3"/>
    <n v="16822"/>
    <s v="11-02-2026"/>
    <x v="3"/>
    <m/>
    <m/>
    <m/>
    <m/>
    <m/>
    <m/>
  </r>
  <r>
    <x v="91"/>
    <n v="7"/>
    <x v="2"/>
    <n v="2026"/>
    <x v="1"/>
    <s v="Laptop"/>
    <x v="3"/>
    <x v="4"/>
    <n v="33977"/>
    <s v="12-02-2026"/>
    <x v="0"/>
    <m/>
    <m/>
    <m/>
    <m/>
    <m/>
    <m/>
  </r>
  <r>
    <x v="92"/>
    <n v="15"/>
    <x v="1"/>
    <n v="2026"/>
    <x v="4"/>
    <s v="Accessories"/>
    <x v="2"/>
    <x v="4"/>
    <n v="48415"/>
    <s v="20-03-2026"/>
    <x v="2"/>
    <m/>
    <m/>
    <m/>
    <m/>
    <m/>
    <m/>
  </r>
  <r>
    <x v="93"/>
    <n v="19"/>
    <x v="0"/>
    <n v="2026"/>
    <x v="2"/>
    <s v="Accessories"/>
    <x v="3"/>
    <x v="1"/>
    <n v="58953"/>
    <s v="29-01-2026"/>
    <x v="1"/>
    <m/>
    <m/>
    <m/>
    <m/>
    <m/>
    <m/>
  </r>
  <r>
    <x v="94"/>
    <n v="1"/>
    <x v="0"/>
    <n v="2026"/>
    <x v="4"/>
    <s v="Laptop"/>
    <x v="1"/>
    <x v="3"/>
    <n v="72768"/>
    <s v="03-01-2026"/>
    <x v="1"/>
    <m/>
    <m/>
    <m/>
    <m/>
    <m/>
    <m/>
  </r>
  <r>
    <x v="95"/>
    <n v="26"/>
    <x v="2"/>
    <n v="2026"/>
    <x v="1"/>
    <s v="Accessories"/>
    <x v="0"/>
    <x v="4"/>
    <n v="39663"/>
    <s v="03-03-2026"/>
    <x v="2"/>
    <m/>
    <m/>
    <m/>
    <m/>
    <m/>
    <m/>
  </r>
  <r>
    <x v="96"/>
    <n v="27"/>
    <x v="0"/>
    <n v="2026"/>
    <x v="2"/>
    <s v="Accessories"/>
    <x v="3"/>
    <x v="4"/>
    <n v="42529"/>
    <s v="06-02-2026"/>
    <x v="2"/>
    <m/>
    <m/>
    <m/>
    <m/>
    <m/>
    <m/>
  </r>
  <r>
    <x v="97"/>
    <n v="14"/>
    <x v="2"/>
    <n v="2026"/>
    <x v="0"/>
    <s v="Accessories"/>
    <x v="1"/>
    <x v="2"/>
    <n v="26616"/>
    <s v="20-02-2026"/>
    <x v="2"/>
    <m/>
    <m/>
    <m/>
    <m/>
    <m/>
    <m/>
  </r>
  <r>
    <x v="98"/>
    <n v="31"/>
    <x v="1"/>
    <n v="2026"/>
    <x v="2"/>
    <s v="Accessories"/>
    <x v="0"/>
    <x v="2"/>
    <n v="69387"/>
    <s v="07-04-2026"/>
    <x v="3"/>
    <m/>
    <m/>
    <m/>
    <m/>
    <m/>
    <m/>
  </r>
  <r>
    <x v="99"/>
    <n v="22"/>
    <x v="2"/>
    <n v="2026"/>
    <x v="4"/>
    <s v="Accessories"/>
    <x v="3"/>
    <x v="2"/>
    <n v="14158"/>
    <s v="03-03-2026"/>
    <x v="3"/>
    <m/>
    <m/>
    <m/>
    <m/>
    <m/>
    <m/>
  </r>
  <r>
    <x v="100"/>
    <n v="9"/>
    <x v="0"/>
    <n v="2026"/>
    <x v="3"/>
    <s v="Accessories"/>
    <x v="1"/>
    <x v="3"/>
    <n v="41500"/>
    <s v="14-01-2026"/>
    <x v="2"/>
    <m/>
    <m/>
    <m/>
    <m/>
    <m/>
    <m/>
  </r>
  <r>
    <x v="101"/>
    <n v="26"/>
    <x v="1"/>
    <n v="2026"/>
    <x v="0"/>
    <s v="Mobile"/>
    <x v="1"/>
    <x v="3"/>
    <n v="60169"/>
    <s v="03-04-2026"/>
    <x v="2"/>
    <m/>
    <m/>
    <m/>
    <m/>
    <m/>
    <m/>
  </r>
  <r>
    <x v="102"/>
    <n v="4"/>
    <x v="2"/>
    <n v="2026"/>
    <x v="4"/>
    <s v="Laptop"/>
    <x v="0"/>
    <x v="4"/>
    <n v="63915"/>
    <s v="06-02-2026"/>
    <x v="0"/>
    <m/>
    <m/>
    <m/>
    <m/>
    <m/>
    <m/>
  </r>
  <r>
    <x v="103"/>
    <n v="5"/>
    <x v="1"/>
    <n v="2026"/>
    <x v="4"/>
    <s v="Tablet"/>
    <x v="1"/>
    <x v="3"/>
    <n v="47888"/>
    <s v="07-03-2026"/>
    <x v="3"/>
    <m/>
    <m/>
    <m/>
    <m/>
    <m/>
    <m/>
  </r>
  <r>
    <x v="104"/>
    <n v="13"/>
    <x v="1"/>
    <n v="2026"/>
    <x v="3"/>
    <s v="Tablet"/>
    <x v="0"/>
    <x v="4"/>
    <n v="32953"/>
    <s v="18-03-2026"/>
    <x v="1"/>
    <m/>
    <m/>
    <m/>
    <m/>
    <m/>
    <m/>
  </r>
  <r>
    <x v="105"/>
    <n v="15"/>
    <x v="2"/>
    <n v="2026"/>
    <x v="4"/>
    <s v="Accessories"/>
    <x v="2"/>
    <x v="3"/>
    <n v="21800"/>
    <s v="24-02-2026"/>
    <x v="3"/>
    <m/>
    <m/>
    <m/>
    <m/>
    <m/>
    <m/>
  </r>
  <r>
    <x v="106"/>
    <n v="3"/>
    <x v="0"/>
    <n v="2026"/>
    <x v="2"/>
    <s v="Mobile"/>
    <x v="0"/>
    <x v="2"/>
    <n v="61203"/>
    <s v="13-01-2026"/>
    <x v="2"/>
    <m/>
    <m/>
    <m/>
    <m/>
    <m/>
    <m/>
  </r>
  <r>
    <x v="107"/>
    <n v="23"/>
    <x v="1"/>
    <n v="2026"/>
    <x v="0"/>
    <s v="Mobile"/>
    <x v="1"/>
    <x v="4"/>
    <n v="29503"/>
    <s v="27-03-2026"/>
    <x v="2"/>
    <m/>
    <m/>
    <m/>
    <m/>
    <m/>
    <m/>
  </r>
  <r>
    <x v="108"/>
    <n v="21"/>
    <x v="2"/>
    <n v="2026"/>
    <x v="2"/>
    <s v="Accessories"/>
    <x v="1"/>
    <x v="2"/>
    <n v="34084"/>
    <s v="03-03-2026"/>
    <x v="1"/>
    <m/>
    <m/>
    <m/>
    <m/>
    <m/>
    <m/>
  </r>
  <r>
    <x v="109"/>
    <n v="12"/>
    <x v="0"/>
    <n v="2026"/>
    <x v="3"/>
    <s v="Laptop"/>
    <x v="2"/>
    <x v="2"/>
    <n v="34120"/>
    <s v="20-01-2026"/>
    <x v="1"/>
    <m/>
    <m/>
    <m/>
    <m/>
    <m/>
    <m/>
  </r>
  <r>
    <x v="110"/>
    <n v="2"/>
    <x v="1"/>
    <n v="2026"/>
    <x v="1"/>
    <s v="Tablet"/>
    <x v="3"/>
    <x v="3"/>
    <n v="14292"/>
    <s v="06-03-2026"/>
    <x v="1"/>
    <m/>
    <m/>
    <m/>
    <m/>
    <m/>
    <m/>
  </r>
  <r>
    <x v="111"/>
    <n v="26"/>
    <x v="2"/>
    <n v="2026"/>
    <x v="4"/>
    <s v="Tablet"/>
    <x v="1"/>
    <x v="1"/>
    <n v="5228"/>
    <s v="04-03-2026"/>
    <x v="0"/>
    <m/>
    <m/>
    <m/>
    <m/>
    <m/>
    <m/>
  </r>
  <r>
    <x v="112"/>
    <n v="12"/>
    <x v="1"/>
    <n v="2026"/>
    <x v="2"/>
    <s v="Tablet"/>
    <x v="0"/>
    <x v="3"/>
    <n v="76919"/>
    <s v="21-03-2026"/>
    <x v="1"/>
    <m/>
    <m/>
    <m/>
    <m/>
    <m/>
    <m/>
  </r>
  <r>
    <x v="113"/>
    <n v="22"/>
    <x v="0"/>
    <n v="2026"/>
    <x v="2"/>
    <s v="Accessories"/>
    <x v="0"/>
    <x v="3"/>
    <n v="26832"/>
    <s v="27-01-2026"/>
    <x v="2"/>
    <m/>
    <m/>
    <m/>
    <m/>
    <m/>
    <m/>
  </r>
  <r>
    <x v="114"/>
    <n v="12"/>
    <x v="1"/>
    <n v="2026"/>
    <x v="3"/>
    <s v="Tablet"/>
    <x v="1"/>
    <x v="3"/>
    <n v="30093"/>
    <s v="16-03-2026"/>
    <x v="2"/>
    <m/>
    <m/>
    <m/>
    <m/>
    <m/>
    <m/>
  </r>
  <r>
    <x v="115"/>
    <n v="23"/>
    <x v="1"/>
    <n v="2026"/>
    <x v="3"/>
    <s v="Tablet"/>
    <x v="0"/>
    <x v="0"/>
    <n v="67449"/>
    <s v="31-03-2026"/>
    <x v="1"/>
    <m/>
    <m/>
    <m/>
    <m/>
    <m/>
    <m/>
  </r>
  <r>
    <x v="116"/>
    <n v="17"/>
    <x v="1"/>
    <n v="2026"/>
    <x v="2"/>
    <s v="Tablet"/>
    <x v="0"/>
    <x v="1"/>
    <n v="33940"/>
    <s v="21-03-2026"/>
    <x v="0"/>
    <m/>
    <m/>
    <m/>
    <m/>
    <m/>
    <m/>
  </r>
  <r>
    <x v="117"/>
    <n v="13"/>
    <x v="2"/>
    <n v="2026"/>
    <x v="1"/>
    <s v="Laptop"/>
    <x v="3"/>
    <x v="3"/>
    <n v="15965"/>
    <s v="14-02-2026"/>
    <x v="3"/>
    <m/>
    <m/>
    <m/>
    <m/>
    <m/>
    <m/>
  </r>
  <r>
    <x v="118"/>
    <n v="5"/>
    <x v="1"/>
    <n v="2026"/>
    <x v="1"/>
    <s v="Accessories"/>
    <x v="2"/>
    <x v="0"/>
    <n v="39480"/>
    <s v="15-03-2026"/>
    <x v="1"/>
    <m/>
    <m/>
    <m/>
    <m/>
    <m/>
    <m/>
  </r>
  <r>
    <x v="119"/>
    <n v="17"/>
    <x v="2"/>
    <n v="2026"/>
    <x v="0"/>
    <s v="Laptop"/>
    <x v="3"/>
    <x v="2"/>
    <n v="30797"/>
    <s v="25-02-2026"/>
    <x v="1"/>
    <m/>
    <m/>
    <m/>
    <m/>
    <m/>
    <m/>
  </r>
  <r>
    <x v="120"/>
    <n v="2"/>
    <x v="0"/>
    <n v="2026"/>
    <x v="1"/>
    <s v="Mobile"/>
    <x v="0"/>
    <x v="3"/>
    <n v="77161"/>
    <s v="08-01-2026"/>
    <x v="3"/>
    <m/>
    <m/>
    <m/>
    <m/>
    <m/>
    <m/>
  </r>
  <r>
    <x v="121"/>
    <n v="28"/>
    <x v="2"/>
    <n v="2026"/>
    <x v="4"/>
    <s v="Laptop"/>
    <x v="3"/>
    <x v="2"/>
    <n v="65704"/>
    <s v="07-03-2026"/>
    <x v="2"/>
    <m/>
    <m/>
    <m/>
    <m/>
    <m/>
    <m/>
  </r>
  <r>
    <x v="122"/>
    <n v="2"/>
    <x v="0"/>
    <n v="2026"/>
    <x v="4"/>
    <s v="Laptop"/>
    <x v="3"/>
    <x v="3"/>
    <n v="62925"/>
    <s v="08-01-2026"/>
    <x v="3"/>
    <m/>
    <m/>
    <m/>
    <m/>
    <m/>
    <m/>
  </r>
  <r>
    <x v="123"/>
    <n v="17"/>
    <x v="2"/>
    <n v="2026"/>
    <x v="0"/>
    <s v="Tablet"/>
    <x v="0"/>
    <x v="3"/>
    <n v="19827"/>
    <s v="26-02-2026"/>
    <x v="0"/>
    <m/>
    <m/>
    <m/>
    <m/>
    <m/>
    <m/>
  </r>
  <r>
    <x v="124"/>
    <n v="5"/>
    <x v="2"/>
    <n v="2026"/>
    <x v="1"/>
    <s v="Tablet"/>
    <x v="2"/>
    <x v="0"/>
    <n v="49577"/>
    <s v="10-02-2026"/>
    <x v="3"/>
    <m/>
    <m/>
    <m/>
    <m/>
    <m/>
    <m/>
  </r>
  <r>
    <x v="125"/>
    <n v="6"/>
    <x v="2"/>
    <n v="2026"/>
    <x v="0"/>
    <s v="Accessories"/>
    <x v="1"/>
    <x v="2"/>
    <n v="79838"/>
    <s v="12-02-2026"/>
    <x v="2"/>
    <m/>
    <m/>
    <m/>
    <m/>
    <m/>
    <m/>
  </r>
  <r>
    <x v="126"/>
    <n v="6"/>
    <x v="2"/>
    <n v="2026"/>
    <x v="4"/>
    <s v="Accessories"/>
    <x v="2"/>
    <x v="3"/>
    <n v="60187"/>
    <s v="16-02-2026"/>
    <x v="1"/>
    <m/>
    <m/>
    <m/>
    <m/>
    <m/>
    <m/>
  </r>
  <r>
    <x v="127"/>
    <n v="16"/>
    <x v="1"/>
    <n v="2026"/>
    <x v="3"/>
    <s v="Tablet"/>
    <x v="1"/>
    <x v="1"/>
    <n v="40206"/>
    <s v="21-03-2026"/>
    <x v="3"/>
    <m/>
    <m/>
    <m/>
    <m/>
    <m/>
    <m/>
  </r>
  <r>
    <x v="128"/>
    <n v="9"/>
    <x v="0"/>
    <n v="2026"/>
    <x v="3"/>
    <s v="Tablet"/>
    <x v="3"/>
    <x v="1"/>
    <n v="20113"/>
    <s v="19-01-2026"/>
    <x v="3"/>
    <m/>
    <m/>
    <m/>
    <m/>
    <m/>
    <m/>
  </r>
  <r>
    <x v="129"/>
    <n v="26"/>
    <x v="1"/>
    <n v="2026"/>
    <x v="3"/>
    <s v="Mobile"/>
    <x v="1"/>
    <x v="0"/>
    <n v="53699"/>
    <s v="03-04-2026"/>
    <x v="2"/>
    <m/>
    <m/>
    <m/>
    <m/>
    <m/>
    <m/>
  </r>
  <r>
    <x v="130"/>
    <n v="16"/>
    <x v="2"/>
    <n v="2026"/>
    <x v="1"/>
    <s v="Mobile"/>
    <x v="3"/>
    <x v="2"/>
    <n v="79328"/>
    <s v="18-02-2026"/>
    <x v="2"/>
    <m/>
    <m/>
    <m/>
    <m/>
    <m/>
    <m/>
  </r>
  <r>
    <x v="131"/>
    <n v="24"/>
    <x v="0"/>
    <n v="2026"/>
    <x v="4"/>
    <s v="Mobile"/>
    <x v="0"/>
    <x v="3"/>
    <n v="50852"/>
    <s v="26-01-2026"/>
    <x v="3"/>
    <m/>
    <m/>
    <m/>
    <m/>
    <m/>
    <m/>
  </r>
  <r>
    <x v="132"/>
    <n v="23"/>
    <x v="1"/>
    <n v="2026"/>
    <x v="1"/>
    <s v="Laptop"/>
    <x v="1"/>
    <x v="3"/>
    <n v="66994"/>
    <s v="26-03-2026"/>
    <x v="0"/>
    <m/>
    <m/>
    <m/>
    <m/>
    <m/>
    <m/>
  </r>
  <r>
    <x v="133"/>
    <n v="18"/>
    <x v="2"/>
    <n v="2026"/>
    <x v="4"/>
    <s v="Mobile"/>
    <x v="2"/>
    <x v="2"/>
    <n v="14820"/>
    <s v="26-02-2026"/>
    <x v="1"/>
    <m/>
    <m/>
    <m/>
    <m/>
    <m/>
    <m/>
  </r>
  <r>
    <x v="134"/>
    <n v="6"/>
    <x v="0"/>
    <n v="2026"/>
    <x v="1"/>
    <s v="Tablet"/>
    <x v="3"/>
    <x v="1"/>
    <n v="58035"/>
    <s v="07-01-2026"/>
    <x v="3"/>
    <m/>
    <m/>
    <m/>
    <m/>
    <m/>
    <m/>
  </r>
  <r>
    <x v="135"/>
    <n v="22"/>
    <x v="1"/>
    <n v="2026"/>
    <x v="0"/>
    <s v="Laptop"/>
    <x v="3"/>
    <x v="2"/>
    <n v="27910"/>
    <s v="31-03-2026"/>
    <x v="3"/>
    <m/>
    <m/>
    <m/>
    <m/>
    <m/>
    <m/>
  </r>
  <r>
    <x v="136"/>
    <n v="30"/>
    <x v="0"/>
    <n v="2026"/>
    <x v="1"/>
    <s v="Laptop"/>
    <x v="3"/>
    <x v="2"/>
    <n v="46902"/>
    <s v="06-02-2026"/>
    <x v="3"/>
    <m/>
    <m/>
    <m/>
    <m/>
    <m/>
    <m/>
  </r>
  <r>
    <x v="137"/>
    <n v="19"/>
    <x v="2"/>
    <n v="2026"/>
    <x v="2"/>
    <s v="Laptop"/>
    <x v="3"/>
    <x v="2"/>
    <n v="18207"/>
    <s v="01-03-2026"/>
    <x v="3"/>
    <m/>
    <m/>
    <m/>
    <m/>
    <m/>
    <m/>
  </r>
  <r>
    <x v="138"/>
    <n v="3"/>
    <x v="0"/>
    <n v="2026"/>
    <x v="1"/>
    <s v="Mobile"/>
    <x v="3"/>
    <x v="3"/>
    <n v="45452"/>
    <s v="08-01-2026"/>
    <x v="1"/>
    <m/>
    <m/>
    <m/>
    <m/>
    <m/>
    <m/>
  </r>
  <r>
    <x v="139"/>
    <n v="21"/>
    <x v="2"/>
    <n v="2026"/>
    <x v="0"/>
    <s v="Mobile"/>
    <x v="2"/>
    <x v="0"/>
    <n v="9344"/>
    <s v="01-03-2026"/>
    <x v="1"/>
    <m/>
    <m/>
    <m/>
    <m/>
    <m/>
    <m/>
  </r>
  <r>
    <x v="140"/>
    <n v="8"/>
    <x v="2"/>
    <n v="2026"/>
    <x v="4"/>
    <s v="Mobile"/>
    <x v="0"/>
    <x v="4"/>
    <n v="50401"/>
    <s v="18-02-2026"/>
    <x v="1"/>
    <m/>
    <m/>
    <m/>
    <m/>
    <m/>
    <m/>
  </r>
  <r>
    <x v="141"/>
    <n v="25"/>
    <x v="1"/>
    <n v="2026"/>
    <x v="1"/>
    <s v="Mobile"/>
    <x v="3"/>
    <x v="2"/>
    <n v="29007"/>
    <s v="02-04-2026"/>
    <x v="0"/>
    <m/>
    <m/>
    <m/>
    <m/>
    <m/>
    <m/>
  </r>
  <r>
    <x v="142"/>
    <n v="4"/>
    <x v="2"/>
    <n v="2026"/>
    <x v="2"/>
    <s v="Accessories"/>
    <x v="1"/>
    <x v="0"/>
    <n v="5105"/>
    <s v="13-02-2026"/>
    <x v="0"/>
    <m/>
    <m/>
    <m/>
    <m/>
    <m/>
    <m/>
  </r>
  <r>
    <x v="143"/>
    <n v="30"/>
    <x v="0"/>
    <n v="2026"/>
    <x v="3"/>
    <s v="Laptop"/>
    <x v="0"/>
    <x v="2"/>
    <n v="62830"/>
    <s v="08-02-2026"/>
    <x v="1"/>
    <m/>
    <m/>
    <m/>
    <m/>
    <m/>
    <m/>
  </r>
  <r>
    <x v="144"/>
    <n v="25"/>
    <x v="1"/>
    <n v="2026"/>
    <x v="3"/>
    <s v="Tablet"/>
    <x v="0"/>
    <x v="4"/>
    <n v="5714"/>
    <s v="03-04-2026"/>
    <x v="3"/>
    <m/>
    <m/>
    <m/>
    <m/>
    <m/>
    <m/>
  </r>
  <r>
    <x v="145"/>
    <n v="12"/>
    <x v="2"/>
    <n v="2026"/>
    <x v="0"/>
    <s v="Tablet"/>
    <x v="2"/>
    <x v="4"/>
    <n v="30589"/>
    <s v="14-02-2026"/>
    <x v="0"/>
    <m/>
    <m/>
    <m/>
    <m/>
    <m/>
    <m/>
  </r>
  <r>
    <x v="146"/>
    <n v="25"/>
    <x v="1"/>
    <n v="2026"/>
    <x v="1"/>
    <s v="Tablet"/>
    <x v="0"/>
    <x v="4"/>
    <n v="63234"/>
    <s v="04-04-2026"/>
    <x v="1"/>
    <m/>
    <m/>
    <m/>
    <m/>
    <m/>
    <m/>
  </r>
  <r>
    <x v="147"/>
    <n v="16"/>
    <x v="0"/>
    <n v="2026"/>
    <x v="1"/>
    <s v="Laptop"/>
    <x v="0"/>
    <x v="1"/>
    <n v="36976"/>
    <s v="26-01-2026"/>
    <x v="0"/>
    <m/>
    <m/>
    <m/>
    <m/>
    <m/>
    <m/>
  </r>
  <r>
    <x v="148"/>
    <n v="2"/>
    <x v="2"/>
    <n v="2026"/>
    <x v="1"/>
    <s v="Mobile"/>
    <x v="3"/>
    <x v="2"/>
    <n v="16461"/>
    <s v="08-02-2026"/>
    <x v="0"/>
    <m/>
    <m/>
    <m/>
    <m/>
    <m/>
    <m/>
  </r>
  <r>
    <x v="149"/>
    <n v="19"/>
    <x v="2"/>
    <n v="2026"/>
    <x v="0"/>
    <s v="Tablet"/>
    <x v="0"/>
    <x v="0"/>
    <n v="30686"/>
    <s v="21-02-2026"/>
    <x v="2"/>
    <m/>
    <m/>
    <m/>
    <m/>
    <m/>
    <m/>
  </r>
  <r>
    <x v="150"/>
    <n v="28"/>
    <x v="0"/>
    <n v="2026"/>
    <x v="0"/>
    <s v="Accessories"/>
    <x v="2"/>
    <x v="0"/>
    <n v="22996"/>
    <s v="01-02-2026"/>
    <x v="1"/>
    <m/>
    <m/>
    <m/>
    <m/>
    <m/>
    <m/>
  </r>
  <r>
    <x v="151"/>
    <n v="3"/>
    <x v="2"/>
    <n v="2026"/>
    <x v="4"/>
    <s v="Tablet"/>
    <x v="2"/>
    <x v="2"/>
    <n v="79295"/>
    <s v="09-02-2026"/>
    <x v="0"/>
    <m/>
    <m/>
    <m/>
    <m/>
    <m/>
    <m/>
  </r>
  <r>
    <x v="152"/>
    <n v="13"/>
    <x v="1"/>
    <n v="2026"/>
    <x v="1"/>
    <s v="Tablet"/>
    <x v="1"/>
    <x v="1"/>
    <n v="63320"/>
    <s v="15-03-2026"/>
    <x v="1"/>
    <m/>
    <m/>
    <m/>
    <m/>
    <m/>
    <m/>
  </r>
  <r>
    <x v="153"/>
    <n v="3"/>
    <x v="2"/>
    <n v="2026"/>
    <x v="4"/>
    <s v="Accessories"/>
    <x v="1"/>
    <x v="3"/>
    <n v="27410"/>
    <s v="12-02-2026"/>
    <x v="0"/>
    <m/>
    <m/>
    <m/>
    <m/>
    <m/>
    <m/>
  </r>
  <r>
    <x v="154"/>
    <n v="8"/>
    <x v="1"/>
    <n v="2026"/>
    <x v="3"/>
    <s v="Laptop"/>
    <x v="2"/>
    <x v="3"/>
    <n v="10278"/>
    <s v="12-03-2026"/>
    <x v="3"/>
    <m/>
    <m/>
    <m/>
    <m/>
    <m/>
    <m/>
  </r>
  <r>
    <x v="155"/>
    <n v="7"/>
    <x v="1"/>
    <n v="2026"/>
    <x v="3"/>
    <s v="Mobile"/>
    <x v="3"/>
    <x v="4"/>
    <n v="58756"/>
    <s v="10-03-2026"/>
    <x v="1"/>
    <m/>
    <m/>
    <m/>
    <m/>
    <m/>
    <m/>
  </r>
  <r>
    <x v="156"/>
    <n v="18"/>
    <x v="1"/>
    <n v="2026"/>
    <x v="0"/>
    <s v="Mobile"/>
    <x v="2"/>
    <x v="3"/>
    <n v="23805"/>
    <s v="26-03-2026"/>
    <x v="1"/>
    <m/>
    <m/>
    <m/>
    <m/>
    <m/>
    <m/>
  </r>
  <r>
    <x v="157"/>
    <n v="15"/>
    <x v="0"/>
    <n v="2026"/>
    <x v="0"/>
    <s v="Laptop"/>
    <x v="1"/>
    <x v="0"/>
    <n v="75586"/>
    <s v="18-01-2026"/>
    <x v="3"/>
    <m/>
    <m/>
    <m/>
    <m/>
    <m/>
    <m/>
  </r>
  <r>
    <x v="158"/>
    <n v="25"/>
    <x v="2"/>
    <n v="2026"/>
    <x v="2"/>
    <s v="Mobile"/>
    <x v="1"/>
    <x v="4"/>
    <n v="64278"/>
    <s v="01-03-2026"/>
    <x v="0"/>
    <m/>
    <m/>
    <m/>
    <m/>
    <m/>
    <m/>
  </r>
  <r>
    <x v="159"/>
    <n v="7"/>
    <x v="2"/>
    <n v="2026"/>
    <x v="3"/>
    <s v="Tablet"/>
    <x v="2"/>
    <x v="3"/>
    <n v="64689"/>
    <s v="12-02-2026"/>
    <x v="0"/>
    <m/>
    <m/>
    <m/>
    <m/>
    <m/>
    <m/>
  </r>
  <r>
    <x v="160"/>
    <n v="6"/>
    <x v="0"/>
    <n v="2026"/>
    <x v="2"/>
    <s v="Laptop"/>
    <x v="3"/>
    <x v="3"/>
    <n v="42572"/>
    <s v="11-01-2026"/>
    <x v="3"/>
    <m/>
    <m/>
    <m/>
    <m/>
    <m/>
    <m/>
  </r>
  <r>
    <x v="161"/>
    <n v="23"/>
    <x v="0"/>
    <n v="2026"/>
    <x v="3"/>
    <s v="Tablet"/>
    <x v="0"/>
    <x v="3"/>
    <n v="57247"/>
    <s v="27-01-2026"/>
    <x v="3"/>
    <m/>
    <m/>
    <m/>
    <m/>
    <m/>
    <m/>
  </r>
  <r>
    <x v="162"/>
    <n v="23"/>
    <x v="2"/>
    <n v="2026"/>
    <x v="1"/>
    <s v="Accessories"/>
    <x v="1"/>
    <x v="3"/>
    <n v="39682"/>
    <s v="02-03-2026"/>
    <x v="0"/>
    <m/>
    <m/>
    <m/>
    <m/>
    <m/>
    <m/>
  </r>
  <r>
    <x v="163"/>
    <n v="9"/>
    <x v="2"/>
    <n v="2026"/>
    <x v="1"/>
    <s v="Laptop"/>
    <x v="1"/>
    <x v="3"/>
    <n v="48950"/>
    <s v="11-02-2026"/>
    <x v="1"/>
    <m/>
    <m/>
    <m/>
    <m/>
    <m/>
    <m/>
  </r>
  <r>
    <x v="164"/>
    <n v="28"/>
    <x v="2"/>
    <n v="2026"/>
    <x v="2"/>
    <s v="Mobile"/>
    <x v="1"/>
    <x v="0"/>
    <n v="8275"/>
    <s v="10-03-2026"/>
    <x v="0"/>
    <m/>
    <m/>
    <m/>
    <m/>
    <m/>
    <m/>
  </r>
  <r>
    <x v="165"/>
    <n v="15"/>
    <x v="0"/>
    <n v="2026"/>
    <x v="0"/>
    <s v="Tablet"/>
    <x v="1"/>
    <x v="0"/>
    <n v="44009"/>
    <s v="17-01-2026"/>
    <x v="1"/>
    <m/>
    <m/>
    <m/>
    <m/>
    <m/>
    <m/>
  </r>
  <r>
    <x v="166"/>
    <n v="2"/>
    <x v="1"/>
    <n v="2026"/>
    <x v="3"/>
    <s v="Mobile"/>
    <x v="1"/>
    <x v="1"/>
    <n v="27860"/>
    <s v="11-03-2026"/>
    <x v="0"/>
    <m/>
    <m/>
    <m/>
    <m/>
    <m/>
    <m/>
  </r>
  <r>
    <x v="167"/>
    <n v="31"/>
    <x v="1"/>
    <n v="2026"/>
    <x v="1"/>
    <s v="Accessories"/>
    <x v="1"/>
    <x v="0"/>
    <n v="6811"/>
    <s v="04-04-2026"/>
    <x v="3"/>
    <m/>
    <m/>
    <m/>
    <m/>
    <m/>
    <m/>
  </r>
  <r>
    <x v="168"/>
    <n v="19"/>
    <x v="2"/>
    <n v="2026"/>
    <x v="4"/>
    <s v="Laptop"/>
    <x v="1"/>
    <x v="3"/>
    <n v="57492"/>
    <s v="20-02-2026"/>
    <x v="3"/>
    <m/>
    <m/>
    <m/>
    <m/>
    <m/>
    <m/>
  </r>
  <r>
    <x v="169"/>
    <n v="12"/>
    <x v="0"/>
    <n v="2026"/>
    <x v="3"/>
    <s v="Tablet"/>
    <x v="1"/>
    <x v="0"/>
    <n v="41683"/>
    <s v="17-01-2026"/>
    <x v="1"/>
    <m/>
    <m/>
    <m/>
    <m/>
    <m/>
    <m/>
  </r>
  <r>
    <x v="170"/>
    <n v="14"/>
    <x v="0"/>
    <n v="2026"/>
    <x v="0"/>
    <s v="Laptop"/>
    <x v="2"/>
    <x v="0"/>
    <n v="50743"/>
    <s v="20-01-2026"/>
    <x v="0"/>
    <m/>
    <m/>
    <m/>
    <m/>
    <m/>
    <m/>
  </r>
  <r>
    <x v="171"/>
    <n v="12"/>
    <x v="2"/>
    <n v="2026"/>
    <x v="4"/>
    <s v="Laptop"/>
    <x v="0"/>
    <x v="0"/>
    <n v="48208"/>
    <s v="15-02-2026"/>
    <x v="1"/>
    <m/>
    <m/>
    <m/>
    <m/>
    <m/>
    <m/>
  </r>
  <r>
    <x v="172"/>
    <n v="26"/>
    <x v="1"/>
    <n v="2026"/>
    <x v="3"/>
    <s v="Laptop"/>
    <x v="1"/>
    <x v="3"/>
    <n v="44221"/>
    <s v="03-04-2026"/>
    <x v="1"/>
    <m/>
    <m/>
    <m/>
    <m/>
    <m/>
    <m/>
  </r>
  <r>
    <x v="173"/>
    <n v="11"/>
    <x v="0"/>
    <n v="2026"/>
    <x v="2"/>
    <s v="Accessories"/>
    <x v="2"/>
    <x v="1"/>
    <n v="57009"/>
    <s v="17-01-2026"/>
    <x v="2"/>
    <m/>
    <m/>
    <m/>
    <m/>
    <m/>
    <m/>
  </r>
  <r>
    <x v="174"/>
    <n v="3"/>
    <x v="0"/>
    <n v="2026"/>
    <x v="2"/>
    <s v="Tablet"/>
    <x v="2"/>
    <x v="1"/>
    <n v="52672"/>
    <s v="10-01-2026"/>
    <x v="1"/>
    <m/>
    <m/>
    <m/>
    <m/>
    <m/>
    <m/>
  </r>
  <r>
    <x v="175"/>
    <n v="27"/>
    <x v="1"/>
    <n v="2026"/>
    <x v="1"/>
    <s v="Mobile"/>
    <x v="1"/>
    <x v="0"/>
    <n v="52858"/>
    <s v="28-03-2026"/>
    <x v="1"/>
    <m/>
    <m/>
    <m/>
    <m/>
    <m/>
    <m/>
  </r>
  <r>
    <x v="176"/>
    <n v="14"/>
    <x v="2"/>
    <n v="2026"/>
    <x v="3"/>
    <s v="Mobile"/>
    <x v="1"/>
    <x v="4"/>
    <n v="48274"/>
    <s v="23-02-2026"/>
    <x v="3"/>
    <m/>
    <m/>
    <m/>
    <m/>
    <m/>
    <m/>
  </r>
  <r>
    <x v="177"/>
    <n v="31"/>
    <x v="1"/>
    <n v="2026"/>
    <x v="2"/>
    <s v="Tablet"/>
    <x v="3"/>
    <x v="3"/>
    <n v="70855"/>
    <s v="03-04-2026"/>
    <x v="1"/>
    <m/>
    <m/>
    <m/>
    <m/>
    <m/>
    <m/>
  </r>
  <r>
    <x v="178"/>
    <n v="1"/>
    <x v="0"/>
    <n v="2026"/>
    <x v="0"/>
    <s v="Laptop"/>
    <x v="2"/>
    <x v="3"/>
    <n v="37557"/>
    <s v="02-01-2026"/>
    <x v="3"/>
    <m/>
    <m/>
    <m/>
    <m/>
    <m/>
    <m/>
  </r>
  <r>
    <x v="179"/>
    <n v="11"/>
    <x v="1"/>
    <n v="2026"/>
    <x v="3"/>
    <s v="Accessories"/>
    <x v="1"/>
    <x v="4"/>
    <n v="37068"/>
    <s v="18-03-2026"/>
    <x v="2"/>
    <m/>
    <m/>
    <m/>
    <m/>
    <m/>
    <m/>
  </r>
  <r>
    <x v="180"/>
    <n v="17"/>
    <x v="0"/>
    <n v="2026"/>
    <x v="4"/>
    <s v="Tablet"/>
    <x v="3"/>
    <x v="4"/>
    <n v="70895"/>
    <s v="22-01-2026"/>
    <x v="1"/>
    <m/>
    <m/>
    <m/>
    <m/>
    <m/>
    <m/>
  </r>
  <r>
    <x v="181"/>
    <n v="22"/>
    <x v="2"/>
    <n v="2026"/>
    <x v="4"/>
    <s v="Tablet"/>
    <x v="2"/>
    <x v="3"/>
    <n v="75419"/>
    <s v="28-02-2026"/>
    <x v="3"/>
    <m/>
    <m/>
    <m/>
    <m/>
    <m/>
    <m/>
  </r>
  <r>
    <x v="182"/>
    <n v="25"/>
    <x v="2"/>
    <n v="2026"/>
    <x v="2"/>
    <s v="Laptop"/>
    <x v="1"/>
    <x v="3"/>
    <n v="28051"/>
    <s v="28-02-2026"/>
    <x v="0"/>
    <m/>
    <m/>
    <m/>
    <m/>
    <m/>
    <m/>
  </r>
  <r>
    <x v="183"/>
    <n v="8"/>
    <x v="0"/>
    <n v="2026"/>
    <x v="2"/>
    <s v="Accessories"/>
    <x v="1"/>
    <x v="0"/>
    <n v="21049"/>
    <s v="11-01-2026"/>
    <x v="3"/>
    <m/>
    <m/>
    <m/>
    <m/>
    <m/>
    <m/>
  </r>
  <r>
    <x v="184"/>
    <n v="20"/>
    <x v="0"/>
    <n v="2026"/>
    <x v="2"/>
    <s v="Accessories"/>
    <x v="3"/>
    <x v="0"/>
    <n v="56248"/>
    <s v="27-01-2026"/>
    <x v="0"/>
    <m/>
    <m/>
    <m/>
    <m/>
    <m/>
    <m/>
  </r>
  <r>
    <x v="185"/>
    <n v="24"/>
    <x v="0"/>
    <n v="2026"/>
    <x v="2"/>
    <s v="Mobile"/>
    <x v="0"/>
    <x v="2"/>
    <n v="68365"/>
    <s v="02-02-2026"/>
    <x v="1"/>
    <m/>
    <m/>
    <m/>
    <m/>
    <m/>
    <m/>
  </r>
  <r>
    <x v="186"/>
    <n v="15"/>
    <x v="1"/>
    <n v="2026"/>
    <x v="3"/>
    <s v="Accessories"/>
    <x v="2"/>
    <x v="1"/>
    <n v="34785"/>
    <s v="19-03-2026"/>
    <x v="3"/>
    <m/>
    <m/>
    <m/>
    <m/>
    <m/>
    <m/>
  </r>
  <r>
    <x v="187"/>
    <n v="30"/>
    <x v="0"/>
    <n v="2026"/>
    <x v="3"/>
    <s v="Mobile"/>
    <x v="3"/>
    <x v="4"/>
    <n v="47215"/>
    <s v="01-02-2026"/>
    <x v="2"/>
    <m/>
    <m/>
    <m/>
    <m/>
    <m/>
    <m/>
  </r>
  <r>
    <x v="188"/>
    <n v="15"/>
    <x v="1"/>
    <n v="2026"/>
    <x v="3"/>
    <s v="Accessories"/>
    <x v="0"/>
    <x v="3"/>
    <n v="59351"/>
    <s v="25-03-2026"/>
    <x v="3"/>
    <m/>
    <m/>
    <m/>
    <m/>
    <m/>
    <m/>
  </r>
  <r>
    <x v="189"/>
    <n v="12"/>
    <x v="1"/>
    <n v="2026"/>
    <x v="1"/>
    <s v="Accessories"/>
    <x v="1"/>
    <x v="4"/>
    <n v="18801"/>
    <s v="16-03-2026"/>
    <x v="2"/>
    <m/>
    <m/>
    <m/>
    <m/>
    <m/>
    <m/>
  </r>
  <r>
    <x v="190"/>
    <n v="13"/>
    <x v="2"/>
    <n v="2026"/>
    <x v="3"/>
    <s v="Laptop"/>
    <x v="0"/>
    <x v="1"/>
    <n v="52866"/>
    <s v="19-02-2026"/>
    <x v="2"/>
    <m/>
    <m/>
    <m/>
    <m/>
    <m/>
    <m/>
  </r>
  <r>
    <x v="191"/>
    <n v="1"/>
    <x v="0"/>
    <n v="2026"/>
    <x v="1"/>
    <s v="Laptop"/>
    <x v="0"/>
    <x v="1"/>
    <n v="59939"/>
    <s v="09-01-2026"/>
    <x v="1"/>
    <m/>
    <m/>
    <m/>
    <m/>
    <m/>
    <m/>
  </r>
  <r>
    <x v="192"/>
    <n v="26"/>
    <x v="0"/>
    <n v="2026"/>
    <x v="2"/>
    <s v="Tablet"/>
    <x v="2"/>
    <x v="1"/>
    <n v="13375"/>
    <s v="04-02-2026"/>
    <x v="3"/>
    <m/>
    <m/>
    <m/>
    <m/>
    <m/>
    <m/>
  </r>
  <r>
    <x v="193"/>
    <n v="1"/>
    <x v="3"/>
    <n v="2026"/>
    <x v="1"/>
    <s v="Accessories"/>
    <x v="0"/>
    <x v="0"/>
    <n v="51869"/>
    <s v="02-04-2026"/>
    <x v="2"/>
    <m/>
    <m/>
    <m/>
    <m/>
    <m/>
    <m/>
  </r>
  <r>
    <x v="194"/>
    <n v="29"/>
    <x v="0"/>
    <n v="2026"/>
    <x v="4"/>
    <s v="Tablet"/>
    <x v="1"/>
    <x v="0"/>
    <n v="28529"/>
    <s v="03-02-2026"/>
    <x v="0"/>
    <m/>
    <m/>
    <m/>
    <m/>
    <m/>
    <m/>
  </r>
  <r>
    <x v="195"/>
    <n v="17"/>
    <x v="0"/>
    <n v="2026"/>
    <x v="0"/>
    <s v="Tablet"/>
    <x v="0"/>
    <x v="3"/>
    <n v="35100"/>
    <s v="23-01-2026"/>
    <x v="0"/>
    <m/>
    <m/>
    <m/>
    <m/>
    <m/>
    <m/>
  </r>
  <r>
    <x v="196"/>
    <n v="20"/>
    <x v="2"/>
    <n v="2026"/>
    <x v="4"/>
    <s v="Tablet"/>
    <x v="2"/>
    <x v="3"/>
    <n v="55520"/>
    <s v="21-02-2026"/>
    <x v="2"/>
    <m/>
    <m/>
    <m/>
    <m/>
    <m/>
    <m/>
  </r>
  <r>
    <x v="197"/>
    <n v="4"/>
    <x v="2"/>
    <n v="2026"/>
    <x v="3"/>
    <s v="Laptop"/>
    <x v="3"/>
    <x v="0"/>
    <n v="24714"/>
    <s v="06-02-2026"/>
    <x v="2"/>
    <m/>
    <m/>
    <m/>
    <m/>
    <m/>
    <m/>
  </r>
  <r>
    <x v="198"/>
    <n v="30"/>
    <x v="1"/>
    <n v="2026"/>
    <x v="2"/>
    <s v="Accessories"/>
    <x v="2"/>
    <x v="0"/>
    <n v="46503"/>
    <s v="09-04-2026"/>
    <x v="3"/>
    <m/>
    <m/>
    <m/>
    <m/>
    <m/>
    <m/>
  </r>
  <r>
    <x v="199"/>
    <n v="14"/>
    <x v="2"/>
    <n v="2026"/>
    <x v="2"/>
    <s v="Accessories"/>
    <x v="1"/>
    <x v="3"/>
    <n v="74441"/>
    <s v="18-02-2026"/>
    <x v="3"/>
    <m/>
    <m/>
    <m/>
    <m/>
    <m/>
    <m/>
  </r>
  <r>
    <x v="200"/>
    <n v="17"/>
    <x v="0"/>
    <n v="2026"/>
    <x v="3"/>
    <s v="Laptop"/>
    <x v="3"/>
    <x v="0"/>
    <n v="14011"/>
    <s v="19-01-2026"/>
    <x v="3"/>
    <m/>
    <m/>
    <m/>
    <m/>
    <m/>
    <m/>
  </r>
  <r>
    <x v="201"/>
    <n v="6"/>
    <x v="1"/>
    <n v="2026"/>
    <x v="2"/>
    <s v="Laptop"/>
    <x v="0"/>
    <x v="1"/>
    <n v="44865"/>
    <s v="09-03-2026"/>
    <x v="1"/>
    <m/>
    <m/>
    <m/>
    <m/>
    <m/>
    <m/>
  </r>
  <r>
    <x v="202"/>
    <n v="3"/>
    <x v="0"/>
    <n v="2026"/>
    <x v="0"/>
    <s v="Tablet"/>
    <x v="1"/>
    <x v="0"/>
    <n v="47503"/>
    <s v="11-01-2026"/>
    <x v="2"/>
    <m/>
    <m/>
    <m/>
    <m/>
    <m/>
    <m/>
  </r>
  <r>
    <x v="203"/>
    <n v="20"/>
    <x v="2"/>
    <n v="2026"/>
    <x v="1"/>
    <s v="Laptop"/>
    <x v="3"/>
    <x v="4"/>
    <n v="68066"/>
    <s v="02-03-2026"/>
    <x v="1"/>
    <m/>
    <m/>
    <m/>
    <m/>
    <m/>
    <m/>
  </r>
  <r>
    <x v="204"/>
    <n v="22"/>
    <x v="1"/>
    <n v="2026"/>
    <x v="3"/>
    <s v="Mobile"/>
    <x v="0"/>
    <x v="0"/>
    <n v="44885"/>
    <s v="01-04-2026"/>
    <x v="2"/>
    <m/>
    <m/>
    <m/>
    <m/>
    <m/>
    <m/>
  </r>
  <r>
    <x v="205"/>
    <n v="5"/>
    <x v="1"/>
    <n v="2026"/>
    <x v="1"/>
    <s v="Accessories"/>
    <x v="3"/>
    <x v="4"/>
    <n v="74329"/>
    <s v="08-03-2026"/>
    <x v="2"/>
    <m/>
    <m/>
    <m/>
    <m/>
    <m/>
    <m/>
  </r>
  <r>
    <x v="206"/>
    <n v="18"/>
    <x v="0"/>
    <n v="2026"/>
    <x v="2"/>
    <s v="Tablet"/>
    <x v="3"/>
    <x v="4"/>
    <n v="46080"/>
    <s v="20-01-2026"/>
    <x v="0"/>
    <m/>
    <m/>
    <m/>
    <m/>
    <m/>
    <m/>
  </r>
  <r>
    <x v="207"/>
    <n v="24"/>
    <x v="1"/>
    <n v="2026"/>
    <x v="0"/>
    <s v="Accessories"/>
    <x v="1"/>
    <x v="3"/>
    <n v="63118"/>
    <s v="27-03-2026"/>
    <x v="3"/>
    <m/>
    <m/>
    <m/>
    <m/>
    <m/>
    <m/>
  </r>
  <r>
    <x v="208"/>
    <n v="10"/>
    <x v="1"/>
    <n v="2026"/>
    <x v="4"/>
    <s v="Accessories"/>
    <x v="2"/>
    <x v="4"/>
    <n v="13039"/>
    <s v="18-03-2026"/>
    <x v="1"/>
    <m/>
    <m/>
    <m/>
    <m/>
    <m/>
    <m/>
  </r>
  <r>
    <x v="209"/>
    <n v="8"/>
    <x v="2"/>
    <n v="2026"/>
    <x v="4"/>
    <s v="Laptop"/>
    <x v="3"/>
    <x v="1"/>
    <n v="22289"/>
    <s v="12-02-2026"/>
    <x v="3"/>
    <m/>
    <m/>
    <m/>
    <m/>
    <m/>
    <m/>
  </r>
  <r>
    <x v="210"/>
    <n v="23"/>
    <x v="2"/>
    <n v="2026"/>
    <x v="1"/>
    <s v="Tablet"/>
    <x v="0"/>
    <x v="3"/>
    <n v="73289"/>
    <s v="05-03-2026"/>
    <x v="2"/>
    <m/>
    <m/>
    <m/>
    <m/>
    <m/>
    <m/>
  </r>
  <r>
    <x v="211"/>
    <n v="1"/>
    <x v="3"/>
    <n v="2026"/>
    <x v="3"/>
    <s v="Accessories"/>
    <x v="2"/>
    <x v="0"/>
    <n v="41408"/>
    <s v="11-04-2026"/>
    <x v="0"/>
    <m/>
    <m/>
    <m/>
    <m/>
    <m/>
    <m/>
  </r>
  <r>
    <x v="212"/>
    <n v="27"/>
    <x v="1"/>
    <n v="2026"/>
    <x v="3"/>
    <s v="Laptop"/>
    <x v="2"/>
    <x v="3"/>
    <n v="44286"/>
    <s v="30-03-2026"/>
    <x v="0"/>
    <m/>
    <m/>
    <m/>
    <m/>
    <m/>
    <m/>
  </r>
  <r>
    <x v="213"/>
    <n v="26"/>
    <x v="0"/>
    <n v="2026"/>
    <x v="0"/>
    <s v="Mobile"/>
    <x v="1"/>
    <x v="0"/>
    <n v="51872"/>
    <s v="27-01-2026"/>
    <x v="1"/>
    <m/>
    <m/>
    <m/>
    <m/>
    <m/>
    <m/>
  </r>
  <r>
    <x v="214"/>
    <n v="17"/>
    <x v="2"/>
    <n v="2026"/>
    <x v="2"/>
    <s v="Tablet"/>
    <x v="3"/>
    <x v="2"/>
    <n v="12939"/>
    <s v="19-02-2026"/>
    <x v="3"/>
    <m/>
    <m/>
    <m/>
    <m/>
    <m/>
    <m/>
  </r>
  <r>
    <x v="215"/>
    <n v="17"/>
    <x v="1"/>
    <n v="2026"/>
    <x v="4"/>
    <s v="Mobile"/>
    <x v="2"/>
    <x v="1"/>
    <n v="36077"/>
    <s v="22-03-2026"/>
    <x v="0"/>
    <m/>
    <m/>
    <m/>
    <m/>
    <m/>
    <m/>
  </r>
  <r>
    <x v="216"/>
    <n v="23"/>
    <x v="1"/>
    <n v="2026"/>
    <x v="4"/>
    <s v="Laptop"/>
    <x v="0"/>
    <x v="4"/>
    <n v="77879"/>
    <s v="30-03-2026"/>
    <x v="3"/>
    <m/>
    <m/>
    <m/>
    <m/>
    <m/>
    <m/>
  </r>
  <r>
    <x v="217"/>
    <n v="16"/>
    <x v="1"/>
    <n v="2026"/>
    <x v="4"/>
    <s v="Mobile"/>
    <x v="2"/>
    <x v="1"/>
    <n v="55204"/>
    <s v="22-03-2026"/>
    <x v="1"/>
    <m/>
    <m/>
    <m/>
    <m/>
    <m/>
    <m/>
  </r>
  <r>
    <x v="218"/>
    <n v="21"/>
    <x v="0"/>
    <n v="2026"/>
    <x v="3"/>
    <s v="Mobile"/>
    <x v="1"/>
    <x v="0"/>
    <n v="31164"/>
    <s v="24-01-2026"/>
    <x v="2"/>
    <m/>
    <m/>
    <m/>
    <m/>
    <m/>
    <m/>
  </r>
  <r>
    <x v="219"/>
    <n v="26"/>
    <x v="2"/>
    <n v="2026"/>
    <x v="1"/>
    <s v="Laptop"/>
    <x v="3"/>
    <x v="2"/>
    <n v="49458"/>
    <s v="01-03-2026"/>
    <x v="3"/>
    <m/>
    <m/>
    <m/>
    <m/>
    <m/>
    <m/>
  </r>
  <r>
    <x v="220"/>
    <n v="29"/>
    <x v="1"/>
    <n v="2026"/>
    <x v="3"/>
    <s v="Mobile"/>
    <x v="1"/>
    <x v="4"/>
    <n v="53649"/>
    <s v="03-04-2026"/>
    <x v="2"/>
    <m/>
    <m/>
    <m/>
    <m/>
    <m/>
    <m/>
  </r>
  <r>
    <x v="221"/>
    <n v="11"/>
    <x v="1"/>
    <n v="2026"/>
    <x v="3"/>
    <s v="Laptop"/>
    <x v="3"/>
    <x v="2"/>
    <n v="76766"/>
    <s v="17-03-2026"/>
    <x v="2"/>
    <m/>
    <m/>
    <m/>
    <m/>
    <m/>
    <m/>
  </r>
  <r>
    <x v="222"/>
    <n v="4"/>
    <x v="1"/>
    <n v="2026"/>
    <x v="3"/>
    <s v="Tablet"/>
    <x v="1"/>
    <x v="0"/>
    <n v="42234"/>
    <s v="08-03-2026"/>
    <x v="0"/>
    <m/>
    <m/>
    <m/>
    <m/>
    <m/>
    <m/>
  </r>
  <r>
    <x v="223"/>
    <n v="10"/>
    <x v="0"/>
    <n v="2026"/>
    <x v="1"/>
    <s v="Mobile"/>
    <x v="2"/>
    <x v="0"/>
    <n v="31299"/>
    <s v="20-01-2026"/>
    <x v="1"/>
    <m/>
    <m/>
    <m/>
    <m/>
    <m/>
    <m/>
  </r>
  <r>
    <x v="224"/>
    <n v="25"/>
    <x v="1"/>
    <n v="2026"/>
    <x v="4"/>
    <s v="Accessories"/>
    <x v="1"/>
    <x v="2"/>
    <n v="56452"/>
    <s v="01-04-2026"/>
    <x v="3"/>
    <m/>
    <m/>
    <m/>
    <m/>
    <m/>
    <m/>
  </r>
  <r>
    <x v="225"/>
    <n v="16"/>
    <x v="0"/>
    <n v="2026"/>
    <x v="1"/>
    <s v="Accessories"/>
    <x v="0"/>
    <x v="0"/>
    <n v="76891"/>
    <s v="23-01-2026"/>
    <x v="0"/>
    <m/>
    <m/>
    <m/>
    <m/>
    <m/>
    <m/>
  </r>
  <r>
    <x v="226"/>
    <n v="22"/>
    <x v="2"/>
    <n v="2026"/>
    <x v="2"/>
    <s v="Tablet"/>
    <x v="2"/>
    <x v="0"/>
    <n v="69017"/>
    <s v="03-03-2026"/>
    <x v="0"/>
    <m/>
    <m/>
    <m/>
    <m/>
    <m/>
    <m/>
  </r>
  <r>
    <x v="227"/>
    <n v="25"/>
    <x v="1"/>
    <n v="2026"/>
    <x v="2"/>
    <s v="Accessories"/>
    <x v="3"/>
    <x v="2"/>
    <n v="58003"/>
    <s v="29-03-2026"/>
    <x v="1"/>
    <m/>
    <m/>
    <m/>
    <m/>
    <m/>
    <m/>
  </r>
  <r>
    <x v="228"/>
    <n v="15"/>
    <x v="1"/>
    <n v="2026"/>
    <x v="1"/>
    <s v="Accessories"/>
    <x v="2"/>
    <x v="0"/>
    <n v="43403"/>
    <s v="24-03-2026"/>
    <x v="1"/>
    <m/>
    <m/>
    <m/>
    <m/>
    <m/>
    <m/>
  </r>
  <r>
    <x v="229"/>
    <n v="15"/>
    <x v="2"/>
    <n v="2026"/>
    <x v="4"/>
    <s v="Mobile"/>
    <x v="1"/>
    <x v="3"/>
    <n v="10678"/>
    <s v="21-02-2026"/>
    <x v="2"/>
    <m/>
    <m/>
    <m/>
    <m/>
    <m/>
    <m/>
  </r>
  <r>
    <x v="230"/>
    <n v="16"/>
    <x v="0"/>
    <n v="2026"/>
    <x v="0"/>
    <s v="Tablet"/>
    <x v="0"/>
    <x v="0"/>
    <n v="25035"/>
    <s v="23-01-2026"/>
    <x v="2"/>
    <m/>
    <m/>
    <m/>
    <m/>
    <m/>
    <m/>
  </r>
  <r>
    <x v="231"/>
    <n v="17"/>
    <x v="1"/>
    <n v="2026"/>
    <x v="4"/>
    <s v="Mobile"/>
    <x v="3"/>
    <x v="3"/>
    <n v="14548"/>
    <s v="27-03-2026"/>
    <x v="0"/>
    <m/>
    <m/>
    <m/>
    <m/>
    <m/>
    <m/>
  </r>
  <r>
    <x v="232"/>
    <n v="19"/>
    <x v="2"/>
    <n v="2026"/>
    <x v="0"/>
    <s v="Mobile"/>
    <x v="1"/>
    <x v="0"/>
    <n v="15618"/>
    <s v="23-02-2026"/>
    <x v="2"/>
    <m/>
    <m/>
    <m/>
    <m/>
    <m/>
    <m/>
  </r>
  <r>
    <x v="233"/>
    <n v="9"/>
    <x v="1"/>
    <n v="2026"/>
    <x v="3"/>
    <s v="Mobile"/>
    <x v="1"/>
    <x v="3"/>
    <n v="5519"/>
    <s v="13-03-2026"/>
    <x v="0"/>
    <m/>
    <m/>
    <m/>
    <m/>
    <m/>
    <m/>
  </r>
  <r>
    <x v="234"/>
    <n v="28"/>
    <x v="0"/>
    <n v="2026"/>
    <x v="4"/>
    <s v="Laptop"/>
    <x v="0"/>
    <x v="1"/>
    <n v="27946"/>
    <s v="07-02-2026"/>
    <x v="0"/>
    <m/>
    <m/>
    <m/>
    <m/>
    <m/>
    <m/>
  </r>
  <r>
    <x v="235"/>
    <n v="4"/>
    <x v="0"/>
    <n v="2026"/>
    <x v="4"/>
    <s v="Mobile"/>
    <x v="3"/>
    <x v="3"/>
    <n v="76110"/>
    <s v="11-01-2026"/>
    <x v="3"/>
    <m/>
    <m/>
    <m/>
    <m/>
    <m/>
    <m/>
  </r>
  <r>
    <x v="236"/>
    <n v="25"/>
    <x v="0"/>
    <n v="2026"/>
    <x v="3"/>
    <s v="Mobile"/>
    <x v="0"/>
    <x v="3"/>
    <n v="60730"/>
    <s v="03-02-2026"/>
    <x v="2"/>
    <m/>
    <m/>
    <m/>
    <m/>
    <m/>
    <m/>
  </r>
  <r>
    <x v="237"/>
    <n v="8"/>
    <x v="1"/>
    <n v="2026"/>
    <x v="1"/>
    <s v="Laptop"/>
    <x v="1"/>
    <x v="4"/>
    <n v="16000"/>
    <s v="14-03-2026"/>
    <x v="0"/>
    <m/>
    <m/>
    <m/>
    <m/>
    <m/>
    <m/>
  </r>
  <r>
    <x v="238"/>
    <n v="3"/>
    <x v="1"/>
    <n v="2026"/>
    <x v="0"/>
    <s v="Laptop"/>
    <x v="0"/>
    <x v="0"/>
    <n v="38392"/>
    <s v="13-03-2026"/>
    <x v="2"/>
    <m/>
    <m/>
    <m/>
    <m/>
    <m/>
    <m/>
  </r>
  <r>
    <x v="239"/>
    <n v="10"/>
    <x v="1"/>
    <n v="2026"/>
    <x v="3"/>
    <s v="Tablet"/>
    <x v="3"/>
    <x v="0"/>
    <n v="77137"/>
    <s v="17-03-2026"/>
    <x v="2"/>
    <m/>
    <m/>
    <m/>
    <m/>
    <m/>
    <m/>
  </r>
  <r>
    <x v="240"/>
    <n v="23"/>
    <x v="1"/>
    <n v="2026"/>
    <x v="0"/>
    <s v="Mobile"/>
    <x v="1"/>
    <x v="3"/>
    <n v="77251"/>
    <s v="25-03-2026"/>
    <x v="0"/>
    <m/>
    <m/>
    <m/>
    <m/>
    <m/>
    <m/>
  </r>
  <r>
    <x v="241"/>
    <n v="3"/>
    <x v="1"/>
    <n v="2026"/>
    <x v="0"/>
    <s v="Tablet"/>
    <x v="3"/>
    <x v="0"/>
    <n v="33714"/>
    <s v="11-03-2026"/>
    <x v="0"/>
    <m/>
    <m/>
    <m/>
    <m/>
    <m/>
    <m/>
  </r>
  <r>
    <x v="242"/>
    <n v="24"/>
    <x v="2"/>
    <n v="2026"/>
    <x v="0"/>
    <s v="Tablet"/>
    <x v="1"/>
    <x v="3"/>
    <n v="17104"/>
    <s v="05-03-2026"/>
    <x v="0"/>
    <m/>
    <m/>
    <m/>
    <m/>
    <m/>
    <m/>
  </r>
  <r>
    <x v="243"/>
    <n v="21"/>
    <x v="0"/>
    <n v="2026"/>
    <x v="3"/>
    <s v="Tablet"/>
    <x v="3"/>
    <x v="0"/>
    <n v="59394"/>
    <s v="24-01-2026"/>
    <x v="2"/>
    <m/>
    <m/>
    <m/>
    <m/>
    <m/>
    <m/>
  </r>
  <r>
    <x v="244"/>
    <n v="11"/>
    <x v="2"/>
    <n v="2026"/>
    <x v="3"/>
    <s v="Mobile"/>
    <x v="2"/>
    <x v="1"/>
    <n v="19582"/>
    <s v="21-02-2026"/>
    <x v="0"/>
    <m/>
    <m/>
    <m/>
    <m/>
    <m/>
    <m/>
  </r>
  <r>
    <x v="245"/>
    <n v="26"/>
    <x v="0"/>
    <n v="2026"/>
    <x v="0"/>
    <s v="Laptop"/>
    <x v="0"/>
    <x v="3"/>
    <n v="70912"/>
    <s v="03-02-2026"/>
    <x v="2"/>
    <m/>
    <m/>
    <m/>
    <m/>
    <m/>
    <m/>
  </r>
  <r>
    <x v="246"/>
    <n v="29"/>
    <x v="1"/>
    <n v="2026"/>
    <x v="4"/>
    <s v="Accessories"/>
    <x v="1"/>
    <x v="4"/>
    <n v="35924"/>
    <s v="30-03-2026"/>
    <x v="1"/>
    <m/>
    <m/>
    <m/>
    <m/>
    <m/>
    <m/>
  </r>
  <r>
    <x v="247"/>
    <n v="10"/>
    <x v="1"/>
    <n v="2026"/>
    <x v="3"/>
    <s v="Tablet"/>
    <x v="1"/>
    <x v="1"/>
    <n v="71107"/>
    <s v="14-03-2026"/>
    <x v="3"/>
    <m/>
    <m/>
    <m/>
    <m/>
    <m/>
    <m/>
  </r>
  <r>
    <x v="248"/>
    <n v="19"/>
    <x v="0"/>
    <n v="2026"/>
    <x v="3"/>
    <s v="Accessories"/>
    <x v="2"/>
    <x v="2"/>
    <n v="14535"/>
    <s v="28-01-2026"/>
    <x v="2"/>
    <m/>
    <m/>
    <m/>
    <m/>
    <m/>
    <m/>
  </r>
  <r>
    <x v="249"/>
    <n v="24"/>
    <x v="0"/>
    <n v="2026"/>
    <x v="1"/>
    <s v="Tablet"/>
    <x v="0"/>
    <x v="1"/>
    <n v="36391"/>
    <s v="29-01-2026"/>
    <x v="1"/>
    <m/>
    <m/>
    <m/>
    <m/>
    <m/>
    <m/>
  </r>
  <r>
    <x v="250"/>
    <n v="5"/>
    <x v="0"/>
    <n v="2026"/>
    <x v="4"/>
    <s v="Tablet"/>
    <x v="0"/>
    <x v="3"/>
    <n v="30856"/>
    <s v="08-01-2026"/>
    <x v="1"/>
    <m/>
    <m/>
    <m/>
    <m/>
    <m/>
    <m/>
  </r>
  <r>
    <x v="251"/>
    <n v="15"/>
    <x v="2"/>
    <n v="2026"/>
    <x v="1"/>
    <s v="Accessories"/>
    <x v="2"/>
    <x v="0"/>
    <n v="74249"/>
    <s v="19-02-2026"/>
    <x v="3"/>
    <m/>
    <m/>
    <m/>
    <m/>
    <m/>
    <m/>
  </r>
  <r>
    <x v="252"/>
    <n v="26"/>
    <x v="0"/>
    <n v="2026"/>
    <x v="4"/>
    <s v="Mobile"/>
    <x v="2"/>
    <x v="3"/>
    <n v="66999"/>
    <s v="31-01-2026"/>
    <x v="0"/>
    <m/>
    <m/>
    <m/>
    <m/>
    <m/>
    <m/>
  </r>
  <r>
    <x v="253"/>
    <n v="24"/>
    <x v="1"/>
    <n v="2026"/>
    <x v="1"/>
    <s v="Accessories"/>
    <x v="1"/>
    <x v="0"/>
    <n v="67020"/>
    <s v="02-04-2026"/>
    <x v="1"/>
    <m/>
    <m/>
    <m/>
    <m/>
    <m/>
    <m/>
  </r>
  <r>
    <x v="254"/>
    <n v="23"/>
    <x v="2"/>
    <n v="2026"/>
    <x v="0"/>
    <s v="Tablet"/>
    <x v="3"/>
    <x v="2"/>
    <n v="6138"/>
    <s v="26-02-2026"/>
    <x v="2"/>
    <m/>
    <m/>
    <m/>
    <m/>
    <m/>
    <m/>
  </r>
  <r>
    <x v="255"/>
    <n v="10"/>
    <x v="1"/>
    <n v="2026"/>
    <x v="3"/>
    <s v="Tablet"/>
    <x v="0"/>
    <x v="0"/>
    <n v="17834"/>
    <s v="11-03-2026"/>
    <x v="1"/>
    <m/>
    <m/>
    <m/>
    <m/>
    <m/>
    <m/>
  </r>
  <r>
    <x v="256"/>
    <n v="26"/>
    <x v="1"/>
    <n v="2026"/>
    <x v="3"/>
    <s v="Tablet"/>
    <x v="1"/>
    <x v="1"/>
    <n v="45508"/>
    <s v="30-03-2026"/>
    <x v="1"/>
    <m/>
    <m/>
    <m/>
    <m/>
    <m/>
    <m/>
  </r>
  <r>
    <x v="257"/>
    <n v="10"/>
    <x v="1"/>
    <n v="2026"/>
    <x v="3"/>
    <s v="Accessories"/>
    <x v="3"/>
    <x v="2"/>
    <n v="66232"/>
    <s v="20-03-2026"/>
    <x v="0"/>
    <m/>
    <m/>
    <m/>
    <m/>
    <m/>
    <m/>
  </r>
  <r>
    <x v="258"/>
    <n v="21"/>
    <x v="2"/>
    <n v="2026"/>
    <x v="0"/>
    <s v="Tablet"/>
    <x v="1"/>
    <x v="0"/>
    <n v="7137"/>
    <s v="27-02-2026"/>
    <x v="1"/>
    <m/>
    <m/>
    <m/>
    <m/>
    <m/>
    <m/>
  </r>
  <r>
    <x v="259"/>
    <n v="12"/>
    <x v="2"/>
    <n v="2026"/>
    <x v="4"/>
    <s v="Tablet"/>
    <x v="1"/>
    <x v="1"/>
    <n v="67504"/>
    <s v="20-02-2026"/>
    <x v="0"/>
    <m/>
    <m/>
    <m/>
    <m/>
    <m/>
    <m/>
  </r>
  <r>
    <x v="260"/>
    <n v="16"/>
    <x v="2"/>
    <n v="2026"/>
    <x v="3"/>
    <s v="Laptop"/>
    <x v="0"/>
    <x v="1"/>
    <n v="34842"/>
    <s v="26-02-2026"/>
    <x v="2"/>
    <m/>
    <m/>
    <m/>
    <m/>
    <m/>
    <m/>
  </r>
  <r>
    <x v="261"/>
    <n v="29"/>
    <x v="0"/>
    <n v="2026"/>
    <x v="0"/>
    <s v="Tablet"/>
    <x v="2"/>
    <x v="0"/>
    <n v="42007"/>
    <s v="06-02-2026"/>
    <x v="1"/>
    <m/>
    <m/>
    <m/>
    <m/>
    <m/>
    <m/>
  </r>
  <r>
    <x v="262"/>
    <n v="11"/>
    <x v="1"/>
    <n v="2026"/>
    <x v="0"/>
    <s v="Laptop"/>
    <x v="3"/>
    <x v="1"/>
    <n v="23505"/>
    <s v="13-03-2026"/>
    <x v="2"/>
    <m/>
    <m/>
    <m/>
    <m/>
    <m/>
    <m/>
  </r>
  <r>
    <x v="263"/>
    <n v="5"/>
    <x v="2"/>
    <n v="2026"/>
    <x v="0"/>
    <s v="Laptop"/>
    <x v="3"/>
    <x v="0"/>
    <n v="49091"/>
    <s v="09-02-2026"/>
    <x v="0"/>
    <m/>
    <m/>
    <m/>
    <m/>
    <m/>
    <m/>
  </r>
  <r>
    <x v="264"/>
    <n v="12"/>
    <x v="1"/>
    <n v="2026"/>
    <x v="2"/>
    <s v="Tablet"/>
    <x v="2"/>
    <x v="1"/>
    <n v="41497"/>
    <s v="20-03-2026"/>
    <x v="3"/>
    <m/>
    <m/>
    <m/>
    <m/>
    <m/>
    <m/>
  </r>
  <r>
    <x v="265"/>
    <n v="15"/>
    <x v="1"/>
    <n v="2026"/>
    <x v="1"/>
    <s v="Mobile"/>
    <x v="2"/>
    <x v="1"/>
    <n v="68021"/>
    <s v="16-03-2026"/>
    <x v="2"/>
    <m/>
    <m/>
    <m/>
    <m/>
    <m/>
    <m/>
  </r>
  <r>
    <x v="266"/>
    <n v="17"/>
    <x v="2"/>
    <n v="2026"/>
    <x v="3"/>
    <s v="Mobile"/>
    <x v="0"/>
    <x v="2"/>
    <n v="49915"/>
    <s v="18-02-2026"/>
    <x v="1"/>
    <m/>
    <m/>
    <m/>
    <m/>
    <m/>
    <m/>
  </r>
  <r>
    <x v="267"/>
    <n v="18"/>
    <x v="2"/>
    <n v="2026"/>
    <x v="1"/>
    <s v="Tablet"/>
    <x v="0"/>
    <x v="3"/>
    <n v="58382"/>
    <s v="24-02-2026"/>
    <x v="2"/>
    <m/>
    <m/>
    <m/>
    <m/>
    <m/>
    <m/>
  </r>
  <r>
    <x v="268"/>
    <n v="2"/>
    <x v="2"/>
    <n v="2026"/>
    <x v="3"/>
    <s v="Laptop"/>
    <x v="3"/>
    <x v="4"/>
    <n v="21216"/>
    <s v="05-02-2026"/>
    <x v="1"/>
    <m/>
    <m/>
    <m/>
    <m/>
    <m/>
    <m/>
  </r>
  <r>
    <x v="269"/>
    <n v="25"/>
    <x v="2"/>
    <n v="2026"/>
    <x v="1"/>
    <s v="Laptop"/>
    <x v="2"/>
    <x v="1"/>
    <n v="28723"/>
    <s v="06-03-2026"/>
    <x v="3"/>
    <m/>
    <m/>
    <m/>
    <m/>
    <m/>
    <m/>
  </r>
  <r>
    <x v="270"/>
    <n v="30"/>
    <x v="1"/>
    <n v="2026"/>
    <x v="1"/>
    <s v="Mobile"/>
    <x v="3"/>
    <x v="3"/>
    <n v="45542"/>
    <s v="03-04-2026"/>
    <x v="3"/>
    <m/>
    <m/>
    <m/>
    <m/>
    <m/>
    <m/>
  </r>
  <r>
    <x v="271"/>
    <n v="22"/>
    <x v="2"/>
    <n v="2026"/>
    <x v="4"/>
    <s v="Tablet"/>
    <x v="0"/>
    <x v="4"/>
    <n v="78249"/>
    <s v="03-03-2026"/>
    <x v="3"/>
    <m/>
    <m/>
    <m/>
    <m/>
    <m/>
    <m/>
  </r>
  <r>
    <x v="272"/>
    <n v="15"/>
    <x v="2"/>
    <n v="2026"/>
    <x v="3"/>
    <s v="Mobile"/>
    <x v="1"/>
    <x v="0"/>
    <n v="67008"/>
    <s v="17-02-2026"/>
    <x v="3"/>
    <m/>
    <m/>
    <m/>
    <m/>
    <m/>
    <m/>
  </r>
  <r>
    <x v="273"/>
    <n v="18"/>
    <x v="1"/>
    <n v="2026"/>
    <x v="2"/>
    <s v="Tablet"/>
    <x v="2"/>
    <x v="0"/>
    <n v="10650"/>
    <s v="28-03-2026"/>
    <x v="3"/>
    <m/>
    <m/>
    <m/>
    <m/>
    <m/>
    <m/>
  </r>
  <r>
    <x v="274"/>
    <n v="25"/>
    <x v="2"/>
    <n v="2026"/>
    <x v="1"/>
    <s v="Mobile"/>
    <x v="0"/>
    <x v="0"/>
    <n v="21965"/>
    <s v="07-03-2026"/>
    <x v="3"/>
    <m/>
    <m/>
    <m/>
    <m/>
    <m/>
    <m/>
  </r>
  <r>
    <x v="275"/>
    <n v="15"/>
    <x v="1"/>
    <n v="2026"/>
    <x v="2"/>
    <s v="Laptop"/>
    <x v="3"/>
    <x v="4"/>
    <n v="58104"/>
    <s v="25-03-2026"/>
    <x v="1"/>
    <m/>
    <m/>
    <m/>
    <m/>
    <m/>
    <m/>
  </r>
  <r>
    <x v="276"/>
    <n v="8"/>
    <x v="1"/>
    <n v="2026"/>
    <x v="3"/>
    <s v="Tablet"/>
    <x v="1"/>
    <x v="1"/>
    <n v="36732"/>
    <s v="14-03-2026"/>
    <x v="1"/>
    <m/>
    <m/>
    <m/>
    <m/>
    <m/>
    <m/>
  </r>
  <r>
    <x v="277"/>
    <n v="11"/>
    <x v="1"/>
    <n v="2026"/>
    <x v="1"/>
    <s v="Tablet"/>
    <x v="2"/>
    <x v="4"/>
    <n v="40914"/>
    <s v="12-03-2026"/>
    <x v="3"/>
    <m/>
    <m/>
    <m/>
    <m/>
    <m/>
    <m/>
  </r>
  <r>
    <x v="278"/>
    <n v="8"/>
    <x v="0"/>
    <n v="2026"/>
    <x v="4"/>
    <s v="Mobile"/>
    <x v="0"/>
    <x v="4"/>
    <n v="17767"/>
    <s v="11-01-2026"/>
    <x v="1"/>
    <m/>
    <m/>
    <m/>
    <m/>
    <m/>
    <m/>
  </r>
  <r>
    <x v="279"/>
    <n v="4"/>
    <x v="1"/>
    <n v="2026"/>
    <x v="1"/>
    <s v="Laptop"/>
    <x v="0"/>
    <x v="3"/>
    <n v="49704"/>
    <s v="05-03-2026"/>
    <x v="2"/>
    <m/>
    <m/>
    <m/>
    <m/>
    <m/>
    <m/>
  </r>
  <r>
    <x v="280"/>
    <n v="5"/>
    <x v="0"/>
    <n v="2026"/>
    <x v="1"/>
    <s v="Tablet"/>
    <x v="1"/>
    <x v="3"/>
    <n v="37801"/>
    <s v="06-01-2026"/>
    <x v="1"/>
    <m/>
    <m/>
    <m/>
    <m/>
    <m/>
    <m/>
  </r>
  <r>
    <x v="281"/>
    <n v="10"/>
    <x v="1"/>
    <n v="2026"/>
    <x v="4"/>
    <s v="Laptop"/>
    <x v="3"/>
    <x v="1"/>
    <n v="40991"/>
    <s v="12-03-2026"/>
    <x v="1"/>
    <m/>
    <m/>
    <m/>
    <m/>
    <m/>
    <m/>
  </r>
  <r>
    <x v="282"/>
    <n v="2"/>
    <x v="0"/>
    <n v="2026"/>
    <x v="0"/>
    <s v="Laptop"/>
    <x v="0"/>
    <x v="2"/>
    <n v="6430"/>
    <s v="07-01-2026"/>
    <x v="0"/>
    <m/>
    <m/>
    <m/>
    <m/>
    <m/>
    <m/>
  </r>
  <r>
    <x v="283"/>
    <n v="1"/>
    <x v="3"/>
    <n v="2026"/>
    <x v="0"/>
    <s v="Tablet"/>
    <x v="1"/>
    <x v="2"/>
    <n v="15771"/>
    <s v="02-04-2026"/>
    <x v="2"/>
    <m/>
    <m/>
    <m/>
    <m/>
    <m/>
    <m/>
  </r>
  <r>
    <x v="284"/>
    <n v="4"/>
    <x v="2"/>
    <n v="2026"/>
    <x v="0"/>
    <s v="Accessories"/>
    <x v="1"/>
    <x v="1"/>
    <n v="27849"/>
    <s v="07-02-2026"/>
    <x v="0"/>
    <m/>
    <m/>
    <m/>
    <m/>
    <m/>
    <m/>
  </r>
  <r>
    <x v="285"/>
    <n v="2"/>
    <x v="0"/>
    <n v="2026"/>
    <x v="1"/>
    <s v="Laptop"/>
    <x v="2"/>
    <x v="1"/>
    <n v="22604"/>
    <s v="05-01-2026"/>
    <x v="0"/>
    <m/>
    <m/>
    <m/>
    <m/>
    <m/>
    <m/>
  </r>
  <r>
    <x v="286"/>
    <n v="22"/>
    <x v="1"/>
    <n v="2026"/>
    <x v="1"/>
    <s v="Laptop"/>
    <x v="0"/>
    <x v="3"/>
    <n v="63666"/>
    <s v="29-03-2026"/>
    <x v="3"/>
    <m/>
    <m/>
    <m/>
    <m/>
    <m/>
    <m/>
  </r>
  <r>
    <x v="287"/>
    <n v="20"/>
    <x v="0"/>
    <n v="2026"/>
    <x v="2"/>
    <s v="Tablet"/>
    <x v="3"/>
    <x v="3"/>
    <n v="58873"/>
    <s v="23-01-2026"/>
    <x v="3"/>
    <m/>
    <m/>
    <m/>
    <m/>
    <m/>
    <m/>
  </r>
  <r>
    <x v="288"/>
    <n v="7"/>
    <x v="0"/>
    <n v="2026"/>
    <x v="2"/>
    <s v="Laptop"/>
    <x v="0"/>
    <x v="1"/>
    <n v="51450"/>
    <s v="10-01-2026"/>
    <x v="3"/>
    <m/>
    <m/>
    <m/>
    <m/>
    <m/>
    <m/>
  </r>
  <r>
    <x v="289"/>
    <n v="24"/>
    <x v="1"/>
    <n v="2026"/>
    <x v="1"/>
    <s v="Mobile"/>
    <x v="2"/>
    <x v="1"/>
    <n v="50484"/>
    <s v="26-03-2026"/>
    <x v="3"/>
    <m/>
    <m/>
    <m/>
    <m/>
    <m/>
    <m/>
  </r>
  <r>
    <x v="290"/>
    <n v="2"/>
    <x v="2"/>
    <n v="2026"/>
    <x v="1"/>
    <s v="Mobile"/>
    <x v="3"/>
    <x v="2"/>
    <n v="58506"/>
    <s v="05-02-2026"/>
    <x v="3"/>
    <m/>
    <m/>
    <m/>
    <m/>
    <m/>
    <m/>
  </r>
  <r>
    <x v="291"/>
    <n v="30"/>
    <x v="0"/>
    <n v="2026"/>
    <x v="3"/>
    <s v="Tablet"/>
    <x v="2"/>
    <x v="4"/>
    <n v="6983"/>
    <s v="08-02-2026"/>
    <x v="0"/>
    <m/>
    <m/>
    <m/>
    <m/>
    <m/>
    <m/>
  </r>
  <r>
    <x v="292"/>
    <n v="21"/>
    <x v="1"/>
    <n v="2026"/>
    <x v="0"/>
    <s v="Accessories"/>
    <x v="2"/>
    <x v="0"/>
    <n v="5787"/>
    <s v="29-03-2026"/>
    <x v="0"/>
    <m/>
    <m/>
    <m/>
    <m/>
    <m/>
    <m/>
  </r>
  <r>
    <x v="293"/>
    <n v="26"/>
    <x v="2"/>
    <n v="2026"/>
    <x v="3"/>
    <s v="Mobile"/>
    <x v="2"/>
    <x v="3"/>
    <n v="50951"/>
    <s v="08-03-2026"/>
    <x v="3"/>
    <m/>
    <m/>
    <m/>
    <m/>
    <m/>
    <m/>
  </r>
  <r>
    <x v="294"/>
    <n v="27"/>
    <x v="1"/>
    <n v="2026"/>
    <x v="2"/>
    <s v="Accessories"/>
    <x v="1"/>
    <x v="0"/>
    <n v="39690"/>
    <s v="01-04-2026"/>
    <x v="0"/>
    <m/>
    <m/>
    <m/>
    <m/>
    <m/>
    <m/>
  </r>
  <r>
    <x v="295"/>
    <n v="31"/>
    <x v="0"/>
    <n v="2026"/>
    <x v="1"/>
    <s v="Laptop"/>
    <x v="1"/>
    <x v="1"/>
    <n v="14809"/>
    <s v="02-02-2026"/>
    <x v="0"/>
    <m/>
    <m/>
    <m/>
    <m/>
    <m/>
    <m/>
  </r>
  <r>
    <x v="296"/>
    <n v="3"/>
    <x v="0"/>
    <n v="2026"/>
    <x v="2"/>
    <s v="Tablet"/>
    <x v="0"/>
    <x v="2"/>
    <n v="37220"/>
    <s v="04-01-2026"/>
    <x v="3"/>
    <m/>
    <m/>
    <m/>
    <m/>
    <m/>
    <m/>
  </r>
  <r>
    <x v="297"/>
    <n v="7"/>
    <x v="0"/>
    <n v="2026"/>
    <x v="2"/>
    <s v="Laptop"/>
    <x v="1"/>
    <x v="4"/>
    <n v="51972"/>
    <s v="12-01-2026"/>
    <x v="3"/>
    <m/>
    <m/>
    <m/>
    <m/>
    <m/>
    <m/>
  </r>
  <r>
    <x v="298"/>
    <n v="27"/>
    <x v="0"/>
    <n v="2026"/>
    <x v="1"/>
    <s v="Tablet"/>
    <x v="0"/>
    <x v="2"/>
    <n v="75195"/>
    <s v="31-01-2026"/>
    <x v="0"/>
    <m/>
    <m/>
    <m/>
    <m/>
    <m/>
    <m/>
  </r>
  <r>
    <x v="299"/>
    <n v="30"/>
    <x v="1"/>
    <n v="2026"/>
    <x v="3"/>
    <s v="Mobile"/>
    <x v="1"/>
    <x v="2"/>
    <n v="21367"/>
    <s v="04-04-2026"/>
    <x v="0"/>
    <m/>
    <m/>
    <m/>
    <m/>
    <m/>
    <m/>
  </r>
  <r>
    <x v="300"/>
    <n v="9"/>
    <x v="2"/>
    <n v="2026"/>
    <x v="0"/>
    <s v="Laptop"/>
    <x v="1"/>
    <x v="4"/>
    <n v="66862"/>
    <s v="13-02-2026"/>
    <x v="1"/>
    <m/>
    <m/>
    <m/>
    <m/>
    <m/>
    <m/>
  </r>
  <r>
    <x v="301"/>
    <n v="5"/>
    <x v="2"/>
    <n v="2026"/>
    <x v="0"/>
    <s v="Accessories"/>
    <x v="3"/>
    <x v="2"/>
    <n v="19568"/>
    <s v="09-02-2026"/>
    <x v="1"/>
    <m/>
    <m/>
    <m/>
    <m/>
    <m/>
    <m/>
  </r>
  <r>
    <x v="302"/>
    <n v="5"/>
    <x v="0"/>
    <n v="2026"/>
    <x v="3"/>
    <s v="Tablet"/>
    <x v="0"/>
    <x v="1"/>
    <n v="38295"/>
    <s v="08-01-2026"/>
    <x v="0"/>
    <m/>
    <m/>
    <m/>
    <m/>
    <m/>
    <m/>
  </r>
  <r>
    <x v="303"/>
    <n v="14"/>
    <x v="1"/>
    <n v="2026"/>
    <x v="3"/>
    <s v="Laptop"/>
    <x v="0"/>
    <x v="2"/>
    <n v="62000"/>
    <s v="19-03-2026"/>
    <x v="3"/>
    <m/>
    <m/>
    <m/>
    <m/>
    <m/>
    <m/>
  </r>
  <r>
    <x v="304"/>
    <n v="4"/>
    <x v="0"/>
    <n v="2026"/>
    <x v="2"/>
    <s v="Laptop"/>
    <x v="2"/>
    <x v="3"/>
    <n v="26709"/>
    <s v="09-01-2026"/>
    <x v="2"/>
    <m/>
    <m/>
    <m/>
    <m/>
    <m/>
    <m/>
  </r>
  <r>
    <x v="305"/>
    <n v="11"/>
    <x v="0"/>
    <n v="2026"/>
    <x v="3"/>
    <s v="Accessories"/>
    <x v="3"/>
    <x v="1"/>
    <n v="25187"/>
    <s v="18-01-2026"/>
    <x v="2"/>
    <m/>
    <m/>
    <m/>
    <m/>
    <m/>
    <m/>
  </r>
  <r>
    <x v="306"/>
    <n v="17"/>
    <x v="1"/>
    <n v="2026"/>
    <x v="3"/>
    <s v="Laptop"/>
    <x v="2"/>
    <x v="3"/>
    <n v="39373"/>
    <s v="23-03-2026"/>
    <x v="1"/>
    <m/>
    <m/>
    <m/>
    <m/>
    <m/>
    <m/>
  </r>
  <r>
    <x v="307"/>
    <n v="27"/>
    <x v="1"/>
    <n v="2026"/>
    <x v="3"/>
    <s v="Accessories"/>
    <x v="2"/>
    <x v="2"/>
    <n v="40734"/>
    <s v="03-04-2026"/>
    <x v="1"/>
    <m/>
    <m/>
    <m/>
    <m/>
    <m/>
    <m/>
  </r>
  <r>
    <x v="308"/>
    <n v="17"/>
    <x v="1"/>
    <n v="2026"/>
    <x v="2"/>
    <s v="Tablet"/>
    <x v="3"/>
    <x v="2"/>
    <n v="60339"/>
    <s v="19-03-2026"/>
    <x v="1"/>
    <m/>
    <m/>
    <m/>
    <m/>
    <m/>
    <m/>
  </r>
  <r>
    <x v="309"/>
    <n v="30"/>
    <x v="1"/>
    <n v="2026"/>
    <x v="1"/>
    <s v="Laptop"/>
    <x v="2"/>
    <x v="3"/>
    <n v="72525"/>
    <s v="07-04-2026"/>
    <x v="3"/>
    <m/>
    <m/>
    <m/>
    <m/>
    <m/>
    <m/>
  </r>
  <r>
    <x v="310"/>
    <n v="13"/>
    <x v="1"/>
    <n v="2026"/>
    <x v="0"/>
    <s v="Tablet"/>
    <x v="2"/>
    <x v="0"/>
    <n v="17638"/>
    <s v="20-03-2026"/>
    <x v="1"/>
    <m/>
    <m/>
    <m/>
    <m/>
    <m/>
    <m/>
  </r>
  <r>
    <x v="311"/>
    <n v="27"/>
    <x v="2"/>
    <n v="2026"/>
    <x v="0"/>
    <s v="Mobile"/>
    <x v="1"/>
    <x v="0"/>
    <n v="41484"/>
    <s v="06-03-2026"/>
    <x v="1"/>
    <m/>
    <m/>
    <m/>
    <m/>
    <m/>
    <m/>
  </r>
  <r>
    <x v="312"/>
    <n v="28"/>
    <x v="1"/>
    <n v="2026"/>
    <x v="1"/>
    <s v="Accessories"/>
    <x v="1"/>
    <x v="2"/>
    <n v="50543"/>
    <s v="03-04-2026"/>
    <x v="0"/>
    <m/>
    <m/>
    <m/>
    <m/>
    <m/>
    <m/>
  </r>
  <r>
    <x v="313"/>
    <n v="21"/>
    <x v="1"/>
    <n v="2026"/>
    <x v="2"/>
    <s v="Tablet"/>
    <x v="2"/>
    <x v="0"/>
    <n v="72327"/>
    <s v="24-03-2026"/>
    <x v="3"/>
    <m/>
    <m/>
    <m/>
    <m/>
    <m/>
    <m/>
  </r>
  <r>
    <x v="314"/>
    <n v="12"/>
    <x v="0"/>
    <n v="2026"/>
    <x v="4"/>
    <s v="Mobile"/>
    <x v="3"/>
    <x v="1"/>
    <n v="58376"/>
    <s v="18-01-2026"/>
    <x v="1"/>
    <m/>
    <m/>
    <m/>
    <m/>
    <m/>
    <m/>
  </r>
  <r>
    <x v="315"/>
    <n v="22"/>
    <x v="2"/>
    <n v="2026"/>
    <x v="2"/>
    <s v="Mobile"/>
    <x v="3"/>
    <x v="3"/>
    <n v="29147"/>
    <s v="04-03-2026"/>
    <x v="1"/>
    <m/>
    <m/>
    <m/>
    <m/>
    <m/>
    <m/>
  </r>
  <r>
    <x v="316"/>
    <n v="27"/>
    <x v="0"/>
    <n v="2026"/>
    <x v="4"/>
    <s v="Mobile"/>
    <x v="1"/>
    <x v="3"/>
    <n v="66387"/>
    <s v="01-02-2026"/>
    <x v="1"/>
    <m/>
    <m/>
    <m/>
    <m/>
    <m/>
    <m/>
  </r>
  <r>
    <x v="317"/>
    <n v="21"/>
    <x v="0"/>
    <n v="2026"/>
    <x v="4"/>
    <s v="Accessories"/>
    <x v="3"/>
    <x v="4"/>
    <n v="16016"/>
    <s v="25-01-2026"/>
    <x v="0"/>
    <m/>
    <m/>
    <m/>
    <m/>
    <m/>
    <m/>
  </r>
  <r>
    <x v="318"/>
    <n v="22"/>
    <x v="1"/>
    <n v="2026"/>
    <x v="1"/>
    <s v="Laptop"/>
    <x v="0"/>
    <x v="4"/>
    <n v="31816"/>
    <s v="25-03-2026"/>
    <x v="3"/>
    <m/>
    <m/>
    <m/>
    <m/>
    <m/>
    <m/>
  </r>
  <r>
    <x v="319"/>
    <n v="3"/>
    <x v="2"/>
    <n v="2026"/>
    <x v="2"/>
    <s v="Tablet"/>
    <x v="3"/>
    <x v="0"/>
    <n v="51715"/>
    <s v="08-02-2026"/>
    <x v="1"/>
    <m/>
    <m/>
    <m/>
    <m/>
    <m/>
    <m/>
  </r>
  <r>
    <x v="320"/>
    <n v="13"/>
    <x v="0"/>
    <n v="2026"/>
    <x v="1"/>
    <s v="Tablet"/>
    <x v="0"/>
    <x v="3"/>
    <n v="31256"/>
    <s v="16-01-2026"/>
    <x v="1"/>
    <m/>
    <m/>
    <m/>
    <m/>
    <m/>
    <m/>
  </r>
  <r>
    <x v="321"/>
    <n v="11"/>
    <x v="2"/>
    <n v="2026"/>
    <x v="0"/>
    <s v="Mobile"/>
    <x v="3"/>
    <x v="2"/>
    <n v="52539"/>
    <s v="18-02-2026"/>
    <x v="3"/>
    <m/>
    <m/>
    <m/>
    <m/>
    <m/>
    <m/>
  </r>
  <r>
    <x v="322"/>
    <n v="2"/>
    <x v="2"/>
    <n v="2026"/>
    <x v="3"/>
    <s v="Laptop"/>
    <x v="3"/>
    <x v="1"/>
    <n v="49218"/>
    <s v="12-02-2026"/>
    <x v="0"/>
    <m/>
    <m/>
    <m/>
    <m/>
    <m/>
    <m/>
  </r>
  <r>
    <x v="323"/>
    <n v="16"/>
    <x v="0"/>
    <n v="2026"/>
    <x v="4"/>
    <s v="Laptop"/>
    <x v="2"/>
    <x v="2"/>
    <n v="31811"/>
    <s v="20-01-2026"/>
    <x v="2"/>
    <m/>
    <m/>
    <m/>
    <m/>
    <m/>
    <m/>
  </r>
  <r>
    <x v="324"/>
    <n v="4"/>
    <x v="1"/>
    <n v="2026"/>
    <x v="3"/>
    <s v="Tablet"/>
    <x v="1"/>
    <x v="2"/>
    <n v="16180"/>
    <s v="06-03-2026"/>
    <x v="2"/>
    <m/>
    <m/>
    <m/>
    <m/>
    <m/>
    <m/>
  </r>
  <r>
    <x v="325"/>
    <n v="20"/>
    <x v="2"/>
    <n v="2026"/>
    <x v="4"/>
    <s v="Laptop"/>
    <x v="0"/>
    <x v="0"/>
    <n v="67056"/>
    <s v="21-02-2026"/>
    <x v="2"/>
    <m/>
    <m/>
    <m/>
    <m/>
    <m/>
    <m/>
  </r>
  <r>
    <x v="326"/>
    <n v="18"/>
    <x v="2"/>
    <n v="2026"/>
    <x v="4"/>
    <s v="Mobile"/>
    <x v="3"/>
    <x v="2"/>
    <n v="66848"/>
    <s v="28-02-2026"/>
    <x v="1"/>
    <m/>
    <m/>
    <m/>
    <m/>
    <m/>
    <m/>
  </r>
  <r>
    <x v="327"/>
    <n v="14"/>
    <x v="0"/>
    <n v="2026"/>
    <x v="0"/>
    <s v="Tablet"/>
    <x v="2"/>
    <x v="2"/>
    <n v="76772"/>
    <s v="19-01-2026"/>
    <x v="3"/>
    <m/>
    <m/>
    <m/>
    <m/>
    <m/>
    <m/>
  </r>
  <r>
    <x v="328"/>
    <n v="8"/>
    <x v="2"/>
    <n v="2026"/>
    <x v="1"/>
    <s v="Laptop"/>
    <x v="1"/>
    <x v="2"/>
    <n v="51599"/>
    <s v="09-02-2026"/>
    <x v="1"/>
    <m/>
    <m/>
    <m/>
    <m/>
    <m/>
    <m/>
  </r>
  <r>
    <x v="329"/>
    <n v="1"/>
    <x v="1"/>
    <n v="2026"/>
    <x v="3"/>
    <s v="Accessories"/>
    <x v="1"/>
    <x v="4"/>
    <n v="69649"/>
    <s v="08-03-2026"/>
    <x v="0"/>
    <m/>
    <m/>
    <m/>
    <m/>
    <m/>
    <m/>
  </r>
  <r>
    <x v="330"/>
    <n v="20"/>
    <x v="1"/>
    <n v="2026"/>
    <x v="4"/>
    <s v="Tablet"/>
    <x v="1"/>
    <x v="1"/>
    <n v="47139"/>
    <s v="22-03-2026"/>
    <x v="1"/>
    <m/>
    <m/>
    <m/>
    <m/>
    <m/>
    <m/>
  </r>
  <r>
    <x v="331"/>
    <n v="5"/>
    <x v="0"/>
    <n v="2026"/>
    <x v="0"/>
    <s v="Accessories"/>
    <x v="0"/>
    <x v="4"/>
    <n v="59987"/>
    <s v="11-01-2026"/>
    <x v="0"/>
    <m/>
    <m/>
    <m/>
    <m/>
    <m/>
    <m/>
  </r>
  <r>
    <x v="332"/>
    <n v="14"/>
    <x v="0"/>
    <n v="2026"/>
    <x v="2"/>
    <s v="Accessories"/>
    <x v="0"/>
    <x v="0"/>
    <n v="38015"/>
    <s v="20-01-2026"/>
    <x v="2"/>
    <m/>
    <m/>
    <m/>
    <m/>
    <m/>
    <m/>
  </r>
  <r>
    <x v="333"/>
    <n v="12"/>
    <x v="2"/>
    <n v="2026"/>
    <x v="3"/>
    <s v="Mobile"/>
    <x v="2"/>
    <x v="4"/>
    <n v="12433"/>
    <s v="16-02-2026"/>
    <x v="3"/>
    <m/>
    <m/>
    <m/>
    <m/>
    <m/>
    <m/>
  </r>
  <r>
    <x v="334"/>
    <n v="12"/>
    <x v="2"/>
    <n v="2026"/>
    <x v="3"/>
    <s v="Tablet"/>
    <x v="0"/>
    <x v="3"/>
    <n v="31756"/>
    <s v="19-02-2026"/>
    <x v="0"/>
    <m/>
    <m/>
    <m/>
    <m/>
    <m/>
    <m/>
  </r>
  <r>
    <x v="335"/>
    <n v="19"/>
    <x v="1"/>
    <n v="2026"/>
    <x v="0"/>
    <s v="Mobile"/>
    <x v="2"/>
    <x v="3"/>
    <n v="28269"/>
    <s v="27-03-2026"/>
    <x v="3"/>
    <m/>
    <m/>
    <m/>
    <m/>
    <m/>
    <m/>
  </r>
  <r>
    <x v="336"/>
    <n v="7"/>
    <x v="0"/>
    <n v="2026"/>
    <x v="3"/>
    <s v="Mobile"/>
    <x v="2"/>
    <x v="2"/>
    <n v="7101"/>
    <s v="15-01-2026"/>
    <x v="3"/>
    <m/>
    <m/>
    <m/>
    <m/>
    <m/>
    <m/>
  </r>
  <r>
    <x v="337"/>
    <n v="26"/>
    <x v="0"/>
    <n v="2026"/>
    <x v="1"/>
    <s v="Tablet"/>
    <x v="2"/>
    <x v="0"/>
    <n v="22257"/>
    <s v="01-02-2026"/>
    <x v="1"/>
    <m/>
    <m/>
    <m/>
    <m/>
    <m/>
    <m/>
  </r>
  <r>
    <x v="338"/>
    <n v="5"/>
    <x v="0"/>
    <n v="2026"/>
    <x v="0"/>
    <s v="Mobile"/>
    <x v="3"/>
    <x v="1"/>
    <n v="67601"/>
    <s v="10-01-2026"/>
    <x v="3"/>
    <m/>
    <m/>
    <m/>
    <m/>
    <m/>
    <m/>
  </r>
  <r>
    <x v="339"/>
    <n v="9"/>
    <x v="2"/>
    <n v="2026"/>
    <x v="1"/>
    <s v="Tablet"/>
    <x v="0"/>
    <x v="3"/>
    <n v="67530"/>
    <s v="12-02-2026"/>
    <x v="2"/>
    <m/>
    <m/>
    <m/>
    <m/>
    <m/>
    <m/>
  </r>
  <r>
    <x v="340"/>
    <n v="1"/>
    <x v="2"/>
    <n v="2026"/>
    <x v="0"/>
    <s v="Laptop"/>
    <x v="3"/>
    <x v="3"/>
    <n v="27432"/>
    <s v="08-02-2026"/>
    <x v="0"/>
    <m/>
    <m/>
    <m/>
    <m/>
    <m/>
    <m/>
  </r>
  <r>
    <x v="341"/>
    <n v="9"/>
    <x v="1"/>
    <n v="2026"/>
    <x v="3"/>
    <s v="Mobile"/>
    <x v="1"/>
    <x v="4"/>
    <n v="70270"/>
    <s v="10-03-2026"/>
    <x v="1"/>
    <m/>
    <m/>
    <m/>
    <m/>
    <m/>
    <m/>
  </r>
  <r>
    <x v="342"/>
    <n v="1"/>
    <x v="3"/>
    <n v="2026"/>
    <x v="3"/>
    <s v="Laptop"/>
    <x v="2"/>
    <x v="2"/>
    <n v="26713"/>
    <s v="08-04-2026"/>
    <x v="0"/>
    <m/>
    <m/>
    <m/>
    <m/>
    <m/>
    <m/>
  </r>
  <r>
    <x v="343"/>
    <n v="3"/>
    <x v="1"/>
    <n v="2026"/>
    <x v="4"/>
    <s v="Accessories"/>
    <x v="0"/>
    <x v="2"/>
    <n v="77386"/>
    <s v="11-03-2026"/>
    <x v="2"/>
    <m/>
    <m/>
    <m/>
    <m/>
    <m/>
    <m/>
  </r>
  <r>
    <x v="344"/>
    <n v="16"/>
    <x v="2"/>
    <n v="2026"/>
    <x v="0"/>
    <s v="Tablet"/>
    <x v="0"/>
    <x v="3"/>
    <n v="32004"/>
    <s v="25-02-2026"/>
    <x v="3"/>
    <m/>
    <m/>
    <m/>
    <m/>
    <m/>
    <m/>
  </r>
  <r>
    <x v="345"/>
    <n v="3"/>
    <x v="1"/>
    <n v="2026"/>
    <x v="0"/>
    <s v="Accessories"/>
    <x v="2"/>
    <x v="0"/>
    <n v="63228"/>
    <s v="04-03-2026"/>
    <x v="0"/>
    <m/>
    <m/>
    <m/>
    <m/>
    <m/>
    <m/>
  </r>
  <r>
    <x v="346"/>
    <n v="21"/>
    <x v="0"/>
    <n v="2026"/>
    <x v="0"/>
    <s v="Tablet"/>
    <x v="3"/>
    <x v="0"/>
    <n v="59940"/>
    <s v="27-01-2026"/>
    <x v="0"/>
    <m/>
    <m/>
    <m/>
    <m/>
    <m/>
    <m/>
  </r>
  <r>
    <x v="347"/>
    <n v="4"/>
    <x v="0"/>
    <n v="2026"/>
    <x v="2"/>
    <s v="Mobile"/>
    <x v="1"/>
    <x v="3"/>
    <n v="36036"/>
    <s v="05-01-2026"/>
    <x v="0"/>
    <m/>
    <m/>
    <m/>
    <m/>
    <m/>
    <m/>
  </r>
  <r>
    <x v="348"/>
    <n v="19"/>
    <x v="2"/>
    <n v="2026"/>
    <x v="0"/>
    <s v="Accessories"/>
    <x v="0"/>
    <x v="4"/>
    <n v="22274"/>
    <s v="26-02-2026"/>
    <x v="1"/>
    <m/>
    <m/>
    <m/>
    <m/>
    <m/>
    <m/>
  </r>
  <r>
    <x v="349"/>
    <n v="4"/>
    <x v="2"/>
    <n v="2026"/>
    <x v="0"/>
    <s v="Mobile"/>
    <x v="2"/>
    <x v="4"/>
    <n v="32868"/>
    <s v="05-02-2026"/>
    <x v="2"/>
    <m/>
    <m/>
    <m/>
    <m/>
    <m/>
    <m/>
  </r>
  <r>
    <x v="350"/>
    <n v="8"/>
    <x v="0"/>
    <n v="2026"/>
    <x v="1"/>
    <s v="Mobile"/>
    <x v="0"/>
    <x v="3"/>
    <n v="45038"/>
    <s v="10-01-2026"/>
    <x v="2"/>
    <m/>
    <m/>
    <m/>
    <m/>
    <m/>
    <m/>
  </r>
  <r>
    <x v="351"/>
    <n v="5"/>
    <x v="0"/>
    <n v="2026"/>
    <x v="2"/>
    <s v="Mobile"/>
    <x v="0"/>
    <x v="2"/>
    <n v="14538"/>
    <s v="14-01-2026"/>
    <x v="1"/>
    <m/>
    <m/>
    <m/>
    <m/>
    <m/>
    <m/>
  </r>
  <r>
    <x v="352"/>
    <n v="18"/>
    <x v="2"/>
    <n v="2026"/>
    <x v="0"/>
    <s v="Accessories"/>
    <x v="2"/>
    <x v="3"/>
    <n v="58147"/>
    <s v="27-02-2026"/>
    <x v="0"/>
    <m/>
    <m/>
    <m/>
    <m/>
    <m/>
    <m/>
  </r>
  <r>
    <x v="353"/>
    <n v="22"/>
    <x v="2"/>
    <n v="2026"/>
    <x v="3"/>
    <s v="Tablet"/>
    <x v="1"/>
    <x v="2"/>
    <n v="28337"/>
    <s v="01-03-2026"/>
    <x v="3"/>
    <m/>
    <m/>
    <m/>
    <m/>
    <m/>
    <m/>
  </r>
  <r>
    <x v="354"/>
    <n v="18"/>
    <x v="1"/>
    <n v="2026"/>
    <x v="0"/>
    <s v="Laptop"/>
    <x v="2"/>
    <x v="4"/>
    <n v="32990"/>
    <s v="24-03-2026"/>
    <x v="1"/>
    <m/>
    <m/>
    <m/>
    <m/>
    <m/>
    <m/>
  </r>
  <r>
    <x v="355"/>
    <n v="8"/>
    <x v="2"/>
    <n v="2026"/>
    <x v="0"/>
    <s v="Mobile"/>
    <x v="2"/>
    <x v="1"/>
    <n v="20328"/>
    <s v="10-02-2026"/>
    <x v="1"/>
    <m/>
    <m/>
    <m/>
    <m/>
    <m/>
    <m/>
  </r>
  <r>
    <x v="356"/>
    <n v="5"/>
    <x v="0"/>
    <n v="2026"/>
    <x v="1"/>
    <s v="Mobile"/>
    <x v="0"/>
    <x v="0"/>
    <n v="78022"/>
    <s v="08-01-2026"/>
    <x v="0"/>
    <m/>
    <m/>
    <m/>
    <m/>
    <m/>
    <m/>
  </r>
  <r>
    <x v="357"/>
    <n v="13"/>
    <x v="1"/>
    <n v="2026"/>
    <x v="4"/>
    <s v="Tablet"/>
    <x v="2"/>
    <x v="0"/>
    <n v="13491"/>
    <s v="19-03-2026"/>
    <x v="2"/>
    <m/>
    <m/>
    <m/>
    <m/>
    <m/>
    <m/>
  </r>
  <r>
    <x v="358"/>
    <n v="22"/>
    <x v="2"/>
    <n v="2026"/>
    <x v="0"/>
    <s v="Mobile"/>
    <x v="3"/>
    <x v="3"/>
    <n v="68107"/>
    <s v="25-02-2026"/>
    <x v="1"/>
    <m/>
    <m/>
    <m/>
    <m/>
    <m/>
    <m/>
  </r>
  <r>
    <x v="359"/>
    <n v="2"/>
    <x v="1"/>
    <n v="2026"/>
    <x v="1"/>
    <s v="Laptop"/>
    <x v="2"/>
    <x v="0"/>
    <n v="16006"/>
    <s v="06-03-2026"/>
    <x v="0"/>
    <m/>
    <m/>
    <m/>
    <m/>
    <m/>
    <m/>
  </r>
  <r>
    <x v="360"/>
    <n v="6"/>
    <x v="0"/>
    <n v="2026"/>
    <x v="4"/>
    <s v="Mobile"/>
    <x v="1"/>
    <x v="2"/>
    <n v="42707"/>
    <s v="10-01-2026"/>
    <x v="3"/>
    <m/>
    <m/>
    <m/>
    <m/>
    <m/>
    <m/>
  </r>
  <r>
    <x v="361"/>
    <n v="11"/>
    <x v="1"/>
    <n v="2026"/>
    <x v="1"/>
    <s v="Accessories"/>
    <x v="0"/>
    <x v="3"/>
    <n v="61284"/>
    <s v="14-03-2026"/>
    <x v="2"/>
    <m/>
    <m/>
    <m/>
    <m/>
    <m/>
    <m/>
  </r>
  <r>
    <x v="362"/>
    <n v="25"/>
    <x v="0"/>
    <n v="2026"/>
    <x v="4"/>
    <s v="Tablet"/>
    <x v="3"/>
    <x v="2"/>
    <n v="47646"/>
    <s v="28-01-2026"/>
    <x v="2"/>
    <m/>
    <m/>
    <m/>
    <m/>
    <m/>
    <m/>
  </r>
  <r>
    <x v="363"/>
    <n v="26"/>
    <x v="2"/>
    <n v="2026"/>
    <x v="1"/>
    <s v="Laptop"/>
    <x v="0"/>
    <x v="0"/>
    <n v="35506"/>
    <s v="05-03-2026"/>
    <x v="2"/>
    <m/>
    <m/>
    <m/>
    <m/>
    <m/>
    <m/>
  </r>
  <r>
    <x v="364"/>
    <n v="14"/>
    <x v="2"/>
    <n v="2026"/>
    <x v="0"/>
    <s v="Accessories"/>
    <x v="1"/>
    <x v="1"/>
    <n v="6122"/>
    <s v="15-02-2026"/>
    <x v="0"/>
    <m/>
    <m/>
    <m/>
    <m/>
    <m/>
    <m/>
  </r>
  <r>
    <x v="365"/>
    <n v="2"/>
    <x v="0"/>
    <n v="2026"/>
    <x v="0"/>
    <s v="Accessories"/>
    <x v="0"/>
    <x v="4"/>
    <n v="57782"/>
    <s v="10-01-2026"/>
    <x v="1"/>
    <m/>
    <m/>
    <m/>
    <m/>
    <m/>
    <m/>
  </r>
  <r>
    <x v="366"/>
    <n v="6"/>
    <x v="1"/>
    <n v="2026"/>
    <x v="3"/>
    <s v="Mobile"/>
    <x v="3"/>
    <x v="3"/>
    <n v="63258"/>
    <s v="10-03-2026"/>
    <x v="3"/>
    <m/>
    <m/>
    <m/>
    <m/>
    <m/>
    <m/>
  </r>
  <r>
    <x v="367"/>
    <n v="8"/>
    <x v="2"/>
    <n v="2026"/>
    <x v="4"/>
    <s v="Accessories"/>
    <x v="3"/>
    <x v="3"/>
    <n v="19424"/>
    <s v="09-02-2026"/>
    <x v="2"/>
    <m/>
    <m/>
    <m/>
    <m/>
    <m/>
    <m/>
  </r>
  <r>
    <x v="368"/>
    <n v="11"/>
    <x v="2"/>
    <n v="2026"/>
    <x v="4"/>
    <s v="Mobile"/>
    <x v="0"/>
    <x v="2"/>
    <n v="71139"/>
    <s v="16-02-2026"/>
    <x v="0"/>
    <m/>
    <m/>
    <m/>
    <m/>
    <m/>
    <m/>
  </r>
  <r>
    <x v="369"/>
    <n v="1"/>
    <x v="2"/>
    <n v="2026"/>
    <x v="2"/>
    <s v="Mobile"/>
    <x v="2"/>
    <x v="1"/>
    <n v="60987"/>
    <s v="08-02-2026"/>
    <x v="3"/>
    <m/>
    <m/>
    <m/>
    <m/>
    <m/>
    <m/>
  </r>
  <r>
    <x v="370"/>
    <n v="20"/>
    <x v="2"/>
    <n v="2026"/>
    <x v="3"/>
    <s v="Mobile"/>
    <x v="0"/>
    <x v="0"/>
    <n v="70774"/>
    <s v="24-02-2026"/>
    <x v="2"/>
    <m/>
    <m/>
    <m/>
    <m/>
    <m/>
    <m/>
  </r>
  <r>
    <x v="371"/>
    <n v="28"/>
    <x v="0"/>
    <n v="2026"/>
    <x v="4"/>
    <s v="Tablet"/>
    <x v="1"/>
    <x v="4"/>
    <n v="36055"/>
    <s v="29-01-2026"/>
    <x v="0"/>
    <m/>
    <m/>
    <m/>
    <m/>
    <m/>
    <m/>
  </r>
  <r>
    <x v="372"/>
    <n v="2"/>
    <x v="0"/>
    <n v="2026"/>
    <x v="2"/>
    <s v="Accessories"/>
    <x v="2"/>
    <x v="3"/>
    <n v="31450"/>
    <s v="07-01-2026"/>
    <x v="2"/>
    <m/>
    <m/>
    <m/>
    <m/>
    <m/>
    <m/>
  </r>
  <r>
    <x v="373"/>
    <n v="26"/>
    <x v="0"/>
    <n v="2026"/>
    <x v="4"/>
    <s v="Mobile"/>
    <x v="1"/>
    <x v="0"/>
    <n v="61815"/>
    <s v="27-01-2026"/>
    <x v="0"/>
    <m/>
    <m/>
    <m/>
    <m/>
    <m/>
    <m/>
  </r>
  <r>
    <x v="374"/>
    <n v="14"/>
    <x v="2"/>
    <n v="2026"/>
    <x v="4"/>
    <s v="Accessories"/>
    <x v="2"/>
    <x v="1"/>
    <n v="39902"/>
    <s v="24-02-2026"/>
    <x v="0"/>
    <m/>
    <m/>
    <m/>
    <m/>
    <m/>
    <m/>
  </r>
  <r>
    <x v="375"/>
    <n v="17"/>
    <x v="2"/>
    <n v="2026"/>
    <x v="4"/>
    <s v="Accessories"/>
    <x v="1"/>
    <x v="2"/>
    <n v="59100"/>
    <s v="18-02-2026"/>
    <x v="1"/>
    <m/>
    <m/>
    <m/>
    <m/>
    <m/>
    <m/>
  </r>
  <r>
    <x v="376"/>
    <n v="30"/>
    <x v="1"/>
    <n v="2026"/>
    <x v="2"/>
    <s v="Accessories"/>
    <x v="1"/>
    <x v="4"/>
    <n v="71015"/>
    <s v="06-04-2026"/>
    <x v="1"/>
    <m/>
    <m/>
    <m/>
    <m/>
    <m/>
    <m/>
  </r>
  <r>
    <x v="377"/>
    <n v="12"/>
    <x v="2"/>
    <n v="2026"/>
    <x v="4"/>
    <s v="Mobile"/>
    <x v="1"/>
    <x v="4"/>
    <n v="18490"/>
    <s v="18-02-2026"/>
    <x v="3"/>
    <m/>
    <m/>
    <m/>
    <m/>
    <m/>
    <m/>
  </r>
  <r>
    <x v="378"/>
    <n v="5"/>
    <x v="2"/>
    <n v="2026"/>
    <x v="2"/>
    <s v="Laptop"/>
    <x v="1"/>
    <x v="4"/>
    <n v="24253"/>
    <s v="10-02-2026"/>
    <x v="1"/>
    <m/>
    <m/>
    <m/>
    <m/>
    <m/>
    <m/>
  </r>
  <r>
    <x v="379"/>
    <n v="25"/>
    <x v="2"/>
    <n v="2026"/>
    <x v="0"/>
    <s v="Tablet"/>
    <x v="2"/>
    <x v="3"/>
    <n v="13297"/>
    <s v="04-03-2026"/>
    <x v="3"/>
    <m/>
    <m/>
    <m/>
    <m/>
    <m/>
    <m/>
  </r>
  <r>
    <x v="380"/>
    <n v="27"/>
    <x v="0"/>
    <n v="2026"/>
    <x v="0"/>
    <s v="Laptop"/>
    <x v="3"/>
    <x v="4"/>
    <n v="14512"/>
    <s v="28-01-2026"/>
    <x v="0"/>
    <m/>
    <m/>
    <m/>
    <m/>
    <m/>
    <m/>
  </r>
  <r>
    <x v="381"/>
    <n v="24"/>
    <x v="1"/>
    <n v="2026"/>
    <x v="1"/>
    <s v="Laptop"/>
    <x v="0"/>
    <x v="0"/>
    <n v="22458"/>
    <s v="02-04-2026"/>
    <x v="3"/>
    <m/>
    <m/>
    <m/>
    <m/>
    <m/>
    <m/>
  </r>
  <r>
    <x v="382"/>
    <n v="6"/>
    <x v="2"/>
    <n v="2026"/>
    <x v="2"/>
    <s v="Laptop"/>
    <x v="0"/>
    <x v="2"/>
    <n v="30937"/>
    <s v="16-02-2026"/>
    <x v="2"/>
    <m/>
    <m/>
    <m/>
    <m/>
    <m/>
    <m/>
  </r>
  <r>
    <x v="383"/>
    <n v="5"/>
    <x v="1"/>
    <n v="2026"/>
    <x v="0"/>
    <s v="Accessories"/>
    <x v="0"/>
    <x v="2"/>
    <n v="37875"/>
    <s v="11-03-2026"/>
    <x v="3"/>
    <m/>
    <m/>
    <m/>
    <m/>
    <m/>
    <m/>
  </r>
  <r>
    <x v="384"/>
    <n v="27"/>
    <x v="2"/>
    <n v="2026"/>
    <x v="3"/>
    <s v="Laptop"/>
    <x v="2"/>
    <x v="1"/>
    <n v="18542"/>
    <s v="09-03-2026"/>
    <x v="3"/>
    <m/>
    <m/>
    <m/>
    <m/>
    <m/>
    <m/>
  </r>
  <r>
    <x v="385"/>
    <n v="10"/>
    <x v="0"/>
    <n v="2026"/>
    <x v="1"/>
    <s v="Tablet"/>
    <x v="1"/>
    <x v="0"/>
    <n v="27879"/>
    <s v="14-01-2026"/>
    <x v="1"/>
    <m/>
    <m/>
    <m/>
    <m/>
    <m/>
    <m/>
  </r>
  <r>
    <x v="386"/>
    <n v="16"/>
    <x v="2"/>
    <n v="2026"/>
    <x v="1"/>
    <s v="Laptop"/>
    <x v="2"/>
    <x v="2"/>
    <n v="51865"/>
    <s v="20-02-2026"/>
    <x v="0"/>
    <m/>
    <m/>
    <m/>
    <m/>
    <m/>
    <m/>
  </r>
  <r>
    <x v="387"/>
    <n v="24"/>
    <x v="0"/>
    <n v="2026"/>
    <x v="3"/>
    <s v="Tablet"/>
    <x v="1"/>
    <x v="0"/>
    <n v="50198"/>
    <s v="03-02-2026"/>
    <x v="3"/>
    <m/>
    <m/>
    <m/>
    <m/>
    <m/>
    <m/>
  </r>
  <r>
    <x v="388"/>
    <n v="24"/>
    <x v="2"/>
    <n v="2026"/>
    <x v="4"/>
    <s v="Accessories"/>
    <x v="0"/>
    <x v="3"/>
    <n v="50436"/>
    <s v="25-02-2026"/>
    <x v="1"/>
    <m/>
    <m/>
    <m/>
    <m/>
    <m/>
    <m/>
  </r>
  <r>
    <x v="389"/>
    <n v="4"/>
    <x v="1"/>
    <n v="2026"/>
    <x v="4"/>
    <s v="Accessories"/>
    <x v="3"/>
    <x v="2"/>
    <n v="15763"/>
    <s v="06-03-2026"/>
    <x v="3"/>
    <m/>
    <m/>
    <m/>
    <m/>
    <m/>
    <m/>
  </r>
  <r>
    <x v="390"/>
    <n v="14"/>
    <x v="0"/>
    <n v="2026"/>
    <x v="1"/>
    <s v="Tablet"/>
    <x v="0"/>
    <x v="2"/>
    <n v="61088"/>
    <s v="16-01-2026"/>
    <x v="0"/>
    <m/>
    <m/>
    <m/>
    <m/>
    <m/>
    <m/>
  </r>
  <r>
    <x v="391"/>
    <n v="11"/>
    <x v="2"/>
    <n v="2026"/>
    <x v="0"/>
    <s v="Tablet"/>
    <x v="0"/>
    <x v="4"/>
    <n v="72183"/>
    <s v="15-02-2026"/>
    <x v="1"/>
    <m/>
    <m/>
    <m/>
    <m/>
    <m/>
    <m/>
  </r>
  <r>
    <x v="392"/>
    <n v="24"/>
    <x v="2"/>
    <n v="2026"/>
    <x v="3"/>
    <s v="Tablet"/>
    <x v="0"/>
    <x v="1"/>
    <n v="7848"/>
    <s v="26-02-2026"/>
    <x v="0"/>
    <m/>
    <m/>
    <m/>
    <m/>
    <m/>
    <m/>
  </r>
  <r>
    <x v="393"/>
    <n v="10"/>
    <x v="2"/>
    <n v="2026"/>
    <x v="0"/>
    <s v="Accessories"/>
    <x v="1"/>
    <x v="4"/>
    <n v="14295"/>
    <s v="14-02-2026"/>
    <x v="3"/>
    <m/>
    <m/>
    <m/>
    <m/>
    <m/>
    <m/>
  </r>
  <r>
    <x v="394"/>
    <n v="13"/>
    <x v="0"/>
    <n v="2026"/>
    <x v="4"/>
    <s v="Accessories"/>
    <x v="0"/>
    <x v="4"/>
    <n v="22936"/>
    <s v="20-01-2026"/>
    <x v="1"/>
    <m/>
    <m/>
    <m/>
    <m/>
    <m/>
    <m/>
  </r>
  <r>
    <x v="395"/>
    <n v="27"/>
    <x v="2"/>
    <n v="2026"/>
    <x v="0"/>
    <s v="Tablet"/>
    <x v="0"/>
    <x v="2"/>
    <n v="17326"/>
    <s v="05-03-2026"/>
    <x v="0"/>
    <m/>
    <m/>
    <m/>
    <m/>
    <m/>
    <m/>
  </r>
  <r>
    <x v="396"/>
    <n v="17"/>
    <x v="1"/>
    <n v="2026"/>
    <x v="4"/>
    <s v="Laptop"/>
    <x v="1"/>
    <x v="1"/>
    <n v="71489"/>
    <s v="25-03-2026"/>
    <x v="3"/>
    <m/>
    <m/>
    <m/>
    <m/>
    <m/>
    <m/>
  </r>
  <r>
    <x v="397"/>
    <n v="26"/>
    <x v="2"/>
    <n v="2026"/>
    <x v="1"/>
    <s v="Mobile"/>
    <x v="2"/>
    <x v="1"/>
    <n v="31301"/>
    <s v="04-03-2026"/>
    <x v="2"/>
    <m/>
    <m/>
    <m/>
    <m/>
    <m/>
    <m/>
  </r>
  <r>
    <x v="398"/>
    <n v="6"/>
    <x v="0"/>
    <n v="2026"/>
    <x v="0"/>
    <s v="Accessories"/>
    <x v="2"/>
    <x v="3"/>
    <n v="65278"/>
    <s v="08-01-2026"/>
    <x v="2"/>
    <m/>
    <m/>
    <m/>
    <m/>
    <m/>
    <m/>
  </r>
  <r>
    <x v="399"/>
    <n v="3"/>
    <x v="0"/>
    <n v="2026"/>
    <x v="0"/>
    <s v="Laptop"/>
    <x v="2"/>
    <x v="0"/>
    <n v="79497"/>
    <s v="09-01-2026"/>
    <x v="0"/>
    <m/>
    <m/>
    <m/>
    <m/>
    <m/>
    <m/>
  </r>
  <r>
    <x v="400"/>
    <n v="25"/>
    <x v="0"/>
    <n v="2026"/>
    <x v="2"/>
    <s v="Laptop"/>
    <x v="1"/>
    <x v="4"/>
    <n v="50405"/>
    <s v="03-02-2026"/>
    <x v="3"/>
    <m/>
    <m/>
    <m/>
    <m/>
    <m/>
    <m/>
  </r>
  <r>
    <x v="401"/>
    <n v="3"/>
    <x v="0"/>
    <n v="2026"/>
    <x v="3"/>
    <s v="Tablet"/>
    <x v="3"/>
    <x v="3"/>
    <n v="66921"/>
    <s v="11-01-2026"/>
    <x v="3"/>
    <m/>
    <m/>
    <m/>
    <m/>
    <m/>
    <m/>
  </r>
  <r>
    <x v="402"/>
    <n v="9"/>
    <x v="1"/>
    <n v="2026"/>
    <x v="2"/>
    <s v="Laptop"/>
    <x v="0"/>
    <x v="2"/>
    <n v="53246"/>
    <s v="14-03-2026"/>
    <x v="0"/>
    <m/>
    <m/>
    <m/>
    <m/>
    <m/>
    <m/>
  </r>
  <r>
    <x v="403"/>
    <n v="19"/>
    <x v="1"/>
    <n v="2026"/>
    <x v="1"/>
    <s v="Laptop"/>
    <x v="2"/>
    <x v="4"/>
    <n v="51352"/>
    <s v="23-03-2026"/>
    <x v="2"/>
    <m/>
    <m/>
    <m/>
    <m/>
    <m/>
    <m/>
  </r>
  <r>
    <x v="404"/>
    <n v="4"/>
    <x v="1"/>
    <n v="2026"/>
    <x v="3"/>
    <s v="Tablet"/>
    <x v="2"/>
    <x v="1"/>
    <n v="53594"/>
    <s v="11-03-2026"/>
    <x v="0"/>
    <m/>
    <m/>
    <m/>
    <m/>
    <m/>
    <m/>
  </r>
  <r>
    <x v="405"/>
    <n v="6"/>
    <x v="2"/>
    <n v="2026"/>
    <x v="1"/>
    <s v="Tablet"/>
    <x v="3"/>
    <x v="4"/>
    <n v="41946"/>
    <s v="11-02-2026"/>
    <x v="0"/>
    <m/>
    <m/>
    <m/>
    <m/>
    <m/>
    <m/>
  </r>
  <r>
    <x v="406"/>
    <n v="15"/>
    <x v="2"/>
    <n v="2026"/>
    <x v="1"/>
    <s v="Mobile"/>
    <x v="2"/>
    <x v="0"/>
    <n v="15368"/>
    <s v="16-02-2026"/>
    <x v="0"/>
    <m/>
    <m/>
    <m/>
    <m/>
    <m/>
    <m/>
  </r>
  <r>
    <x v="407"/>
    <n v="17"/>
    <x v="1"/>
    <n v="2026"/>
    <x v="4"/>
    <s v="Tablet"/>
    <x v="1"/>
    <x v="0"/>
    <n v="65550"/>
    <s v="22-03-2026"/>
    <x v="2"/>
    <m/>
    <m/>
    <m/>
    <m/>
    <m/>
    <m/>
  </r>
  <r>
    <x v="408"/>
    <n v="25"/>
    <x v="1"/>
    <n v="2026"/>
    <x v="0"/>
    <s v="Mobile"/>
    <x v="2"/>
    <x v="3"/>
    <n v="36283"/>
    <s v="31-03-2026"/>
    <x v="1"/>
    <m/>
    <m/>
    <m/>
    <m/>
    <m/>
    <m/>
  </r>
  <r>
    <x v="409"/>
    <n v="6"/>
    <x v="2"/>
    <n v="2026"/>
    <x v="3"/>
    <s v="Mobile"/>
    <x v="2"/>
    <x v="4"/>
    <n v="43712"/>
    <s v="09-02-2026"/>
    <x v="2"/>
    <m/>
    <m/>
    <m/>
    <m/>
    <m/>
    <m/>
  </r>
  <r>
    <x v="410"/>
    <n v="9"/>
    <x v="1"/>
    <n v="2026"/>
    <x v="1"/>
    <s v="Mobile"/>
    <x v="0"/>
    <x v="0"/>
    <n v="47264"/>
    <s v="14-03-2026"/>
    <x v="2"/>
    <m/>
    <m/>
    <m/>
    <m/>
    <m/>
    <m/>
  </r>
  <r>
    <x v="411"/>
    <n v="1"/>
    <x v="3"/>
    <n v="2026"/>
    <x v="2"/>
    <s v="Mobile"/>
    <x v="3"/>
    <x v="2"/>
    <n v="25947"/>
    <s v="02-04-2026"/>
    <x v="0"/>
    <m/>
    <m/>
    <m/>
    <m/>
    <m/>
    <m/>
  </r>
  <r>
    <x v="412"/>
    <n v="15"/>
    <x v="2"/>
    <n v="2026"/>
    <x v="1"/>
    <s v="Accessories"/>
    <x v="3"/>
    <x v="0"/>
    <n v="18463"/>
    <s v="17-02-2026"/>
    <x v="0"/>
    <m/>
    <m/>
    <m/>
    <m/>
    <m/>
    <m/>
  </r>
  <r>
    <x v="413"/>
    <n v="23"/>
    <x v="2"/>
    <n v="2026"/>
    <x v="1"/>
    <s v="Tablet"/>
    <x v="3"/>
    <x v="2"/>
    <n v="49935"/>
    <s v="05-03-2026"/>
    <x v="1"/>
    <m/>
    <m/>
    <m/>
    <m/>
    <m/>
    <m/>
  </r>
  <r>
    <x v="414"/>
    <n v="24"/>
    <x v="0"/>
    <n v="2026"/>
    <x v="3"/>
    <s v="Tablet"/>
    <x v="3"/>
    <x v="3"/>
    <n v="48411"/>
    <s v="02-02-2026"/>
    <x v="3"/>
    <m/>
    <m/>
    <m/>
    <m/>
    <m/>
    <m/>
  </r>
  <r>
    <x v="415"/>
    <n v="23"/>
    <x v="2"/>
    <n v="2026"/>
    <x v="2"/>
    <s v="Mobile"/>
    <x v="0"/>
    <x v="2"/>
    <n v="54381"/>
    <s v="04-03-2026"/>
    <x v="1"/>
    <m/>
    <m/>
    <m/>
    <m/>
    <m/>
    <m/>
  </r>
  <r>
    <x v="416"/>
    <n v="27"/>
    <x v="2"/>
    <n v="2026"/>
    <x v="1"/>
    <s v="Tablet"/>
    <x v="1"/>
    <x v="4"/>
    <n v="22453"/>
    <s v="05-03-2026"/>
    <x v="0"/>
    <m/>
    <m/>
    <m/>
    <m/>
    <m/>
    <m/>
  </r>
  <r>
    <x v="417"/>
    <n v="6"/>
    <x v="0"/>
    <n v="2026"/>
    <x v="2"/>
    <s v="Tablet"/>
    <x v="0"/>
    <x v="2"/>
    <n v="19864"/>
    <s v="11-01-2026"/>
    <x v="3"/>
    <m/>
    <m/>
    <m/>
    <m/>
    <m/>
    <m/>
  </r>
  <r>
    <x v="418"/>
    <n v="13"/>
    <x v="0"/>
    <n v="2026"/>
    <x v="2"/>
    <s v="Mobile"/>
    <x v="0"/>
    <x v="3"/>
    <n v="62791"/>
    <s v="15-01-2026"/>
    <x v="1"/>
    <m/>
    <m/>
    <m/>
    <m/>
    <m/>
    <m/>
  </r>
  <r>
    <x v="419"/>
    <n v="10"/>
    <x v="2"/>
    <n v="2026"/>
    <x v="1"/>
    <s v="Accessories"/>
    <x v="1"/>
    <x v="3"/>
    <n v="43835"/>
    <s v="12-02-2026"/>
    <x v="1"/>
    <m/>
    <m/>
    <m/>
    <m/>
    <m/>
    <m/>
  </r>
  <r>
    <x v="420"/>
    <n v="12"/>
    <x v="1"/>
    <n v="2026"/>
    <x v="0"/>
    <s v="Accessories"/>
    <x v="1"/>
    <x v="3"/>
    <n v="66327"/>
    <s v="21-03-2026"/>
    <x v="2"/>
    <m/>
    <m/>
    <m/>
    <m/>
    <m/>
    <m/>
  </r>
  <r>
    <x v="421"/>
    <n v="6"/>
    <x v="1"/>
    <n v="2026"/>
    <x v="0"/>
    <s v="Mobile"/>
    <x v="3"/>
    <x v="4"/>
    <n v="61592"/>
    <s v="07-03-2026"/>
    <x v="2"/>
    <m/>
    <m/>
    <m/>
    <m/>
    <m/>
    <m/>
  </r>
  <r>
    <x v="422"/>
    <n v="15"/>
    <x v="0"/>
    <n v="2026"/>
    <x v="0"/>
    <s v="Laptop"/>
    <x v="3"/>
    <x v="0"/>
    <n v="66001"/>
    <s v="23-01-2026"/>
    <x v="1"/>
    <m/>
    <m/>
    <m/>
    <m/>
    <m/>
    <m/>
  </r>
  <r>
    <x v="423"/>
    <n v="29"/>
    <x v="1"/>
    <n v="2026"/>
    <x v="1"/>
    <s v="Accessories"/>
    <x v="2"/>
    <x v="0"/>
    <n v="8787"/>
    <s v="06-04-2026"/>
    <x v="1"/>
    <m/>
    <m/>
    <m/>
    <m/>
    <m/>
    <m/>
  </r>
  <r>
    <x v="424"/>
    <n v="26"/>
    <x v="2"/>
    <n v="2026"/>
    <x v="4"/>
    <s v="Mobile"/>
    <x v="3"/>
    <x v="3"/>
    <n v="60201"/>
    <s v="02-03-2026"/>
    <x v="1"/>
    <m/>
    <m/>
    <m/>
    <m/>
    <m/>
    <m/>
  </r>
  <r>
    <x v="425"/>
    <n v="25"/>
    <x v="2"/>
    <n v="2026"/>
    <x v="1"/>
    <s v="Tablet"/>
    <x v="1"/>
    <x v="2"/>
    <n v="40685"/>
    <s v="26-02-2026"/>
    <x v="2"/>
    <m/>
    <m/>
    <m/>
    <m/>
    <m/>
    <m/>
  </r>
  <r>
    <x v="426"/>
    <n v="18"/>
    <x v="1"/>
    <n v="2026"/>
    <x v="2"/>
    <s v="Mobile"/>
    <x v="3"/>
    <x v="1"/>
    <n v="43458"/>
    <s v="22-03-2026"/>
    <x v="1"/>
    <m/>
    <m/>
    <m/>
    <m/>
    <m/>
    <m/>
  </r>
  <r>
    <x v="427"/>
    <n v="15"/>
    <x v="1"/>
    <n v="2026"/>
    <x v="0"/>
    <s v="Tablet"/>
    <x v="0"/>
    <x v="2"/>
    <n v="61367"/>
    <s v="23-03-2026"/>
    <x v="1"/>
    <m/>
    <m/>
    <m/>
    <m/>
    <m/>
    <m/>
  </r>
  <r>
    <x v="428"/>
    <n v="6"/>
    <x v="0"/>
    <n v="2026"/>
    <x v="2"/>
    <s v="Laptop"/>
    <x v="3"/>
    <x v="2"/>
    <n v="12380"/>
    <s v="13-01-2026"/>
    <x v="3"/>
    <m/>
    <m/>
    <m/>
    <m/>
    <m/>
    <m/>
  </r>
  <r>
    <x v="429"/>
    <n v="19"/>
    <x v="1"/>
    <n v="2026"/>
    <x v="3"/>
    <s v="Tablet"/>
    <x v="2"/>
    <x v="2"/>
    <n v="46230"/>
    <s v="22-03-2026"/>
    <x v="0"/>
    <m/>
    <m/>
    <m/>
    <m/>
    <m/>
    <m/>
  </r>
  <r>
    <x v="430"/>
    <n v="2"/>
    <x v="2"/>
    <n v="2026"/>
    <x v="2"/>
    <s v="Mobile"/>
    <x v="1"/>
    <x v="1"/>
    <n v="5902"/>
    <s v="03-02-2026"/>
    <x v="1"/>
    <m/>
    <m/>
    <m/>
    <m/>
    <m/>
    <m/>
  </r>
  <r>
    <x v="431"/>
    <n v="26"/>
    <x v="0"/>
    <n v="2026"/>
    <x v="1"/>
    <s v="Accessories"/>
    <x v="2"/>
    <x v="0"/>
    <n v="68256"/>
    <s v="27-01-2026"/>
    <x v="2"/>
    <m/>
    <m/>
    <m/>
    <m/>
    <m/>
    <m/>
  </r>
  <r>
    <x v="432"/>
    <n v="6"/>
    <x v="2"/>
    <n v="2026"/>
    <x v="1"/>
    <s v="Laptop"/>
    <x v="1"/>
    <x v="2"/>
    <n v="51850"/>
    <s v="10-02-2026"/>
    <x v="3"/>
    <m/>
    <m/>
    <m/>
    <m/>
    <m/>
    <m/>
  </r>
  <r>
    <x v="433"/>
    <n v="17"/>
    <x v="0"/>
    <n v="2026"/>
    <x v="3"/>
    <s v="Accessories"/>
    <x v="1"/>
    <x v="2"/>
    <n v="74953"/>
    <s v="21-01-2026"/>
    <x v="3"/>
    <m/>
    <m/>
    <m/>
    <m/>
    <m/>
    <m/>
  </r>
  <r>
    <x v="434"/>
    <n v="21"/>
    <x v="0"/>
    <n v="2026"/>
    <x v="2"/>
    <s v="Mobile"/>
    <x v="1"/>
    <x v="4"/>
    <n v="34911"/>
    <s v="27-01-2026"/>
    <x v="1"/>
    <m/>
    <m/>
    <m/>
    <m/>
    <m/>
    <m/>
  </r>
  <r>
    <x v="435"/>
    <n v="28"/>
    <x v="2"/>
    <n v="2026"/>
    <x v="4"/>
    <s v="Accessories"/>
    <x v="2"/>
    <x v="3"/>
    <n v="68293"/>
    <s v="08-03-2026"/>
    <x v="2"/>
    <m/>
    <m/>
    <m/>
    <m/>
    <m/>
    <m/>
  </r>
  <r>
    <x v="436"/>
    <n v="9"/>
    <x v="0"/>
    <n v="2026"/>
    <x v="0"/>
    <s v="Accessories"/>
    <x v="3"/>
    <x v="3"/>
    <n v="51484"/>
    <s v="19-01-2026"/>
    <x v="0"/>
    <m/>
    <m/>
    <m/>
    <m/>
    <m/>
    <m/>
  </r>
  <r>
    <x v="437"/>
    <n v="13"/>
    <x v="2"/>
    <n v="2026"/>
    <x v="0"/>
    <s v="Laptop"/>
    <x v="0"/>
    <x v="3"/>
    <n v="37030"/>
    <s v="21-02-2026"/>
    <x v="3"/>
    <m/>
    <m/>
    <m/>
    <m/>
    <m/>
    <m/>
  </r>
  <r>
    <x v="438"/>
    <n v="13"/>
    <x v="2"/>
    <n v="2026"/>
    <x v="2"/>
    <s v="Accessories"/>
    <x v="0"/>
    <x v="0"/>
    <n v="24910"/>
    <s v="15-02-2026"/>
    <x v="0"/>
    <m/>
    <m/>
    <m/>
    <m/>
    <m/>
    <m/>
  </r>
  <r>
    <x v="439"/>
    <n v="3"/>
    <x v="2"/>
    <n v="2026"/>
    <x v="2"/>
    <s v="Laptop"/>
    <x v="3"/>
    <x v="1"/>
    <n v="53470"/>
    <s v="09-02-2026"/>
    <x v="3"/>
    <m/>
    <m/>
    <m/>
    <m/>
    <m/>
    <m/>
  </r>
  <r>
    <x v="440"/>
    <n v="3"/>
    <x v="1"/>
    <n v="2026"/>
    <x v="3"/>
    <s v="Mobile"/>
    <x v="2"/>
    <x v="4"/>
    <n v="53694"/>
    <s v="05-03-2026"/>
    <x v="2"/>
    <m/>
    <m/>
    <m/>
    <m/>
    <m/>
    <m/>
  </r>
  <r>
    <x v="441"/>
    <n v="23"/>
    <x v="2"/>
    <n v="2026"/>
    <x v="1"/>
    <s v="Laptop"/>
    <x v="3"/>
    <x v="4"/>
    <n v="12512"/>
    <s v="28-02-2026"/>
    <x v="3"/>
    <m/>
    <m/>
    <m/>
    <m/>
    <m/>
    <m/>
  </r>
  <r>
    <x v="442"/>
    <n v="16"/>
    <x v="0"/>
    <n v="2026"/>
    <x v="1"/>
    <s v="Mobile"/>
    <x v="2"/>
    <x v="0"/>
    <n v="73455"/>
    <s v="17-01-2026"/>
    <x v="1"/>
    <m/>
    <m/>
    <m/>
    <m/>
    <m/>
    <m/>
  </r>
  <r>
    <x v="443"/>
    <n v="2"/>
    <x v="0"/>
    <n v="2026"/>
    <x v="4"/>
    <s v="Accessories"/>
    <x v="1"/>
    <x v="4"/>
    <n v="19655"/>
    <s v="10-01-2026"/>
    <x v="2"/>
    <m/>
    <m/>
    <m/>
    <m/>
    <m/>
    <m/>
  </r>
  <r>
    <x v="444"/>
    <n v="27"/>
    <x v="1"/>
    <n v="2026"/>
    <x v="0"/>
    <s v="Accessories"/>
    <x v="3"/>
    <x v="1"/>
    <n v="76228"/>
    <s v="29-03-2026"/>
    <x v="0"/>
    <m/>
    <m/>
    <m/>
    <m/>
    <m/>
    <m/>
  </r>
  <r>
    <x v="445"/>
    <n v="23"/>
    <x v="0"/>
    <n v="2026"/>
    <x v="4"/>
    <s v="Mobile"/>
    <x v="2"/>
    <x v="0"/>
    <n v="43331"/>
    <s v="02-02-2026"/>
    <x v="3"/>
    <m/>
    <m/>
    <m/>
    <m/>
    <m/>
    <m/>
  </r>
  <r>
    <x v="446"/>
    <n v="29"/>
    <x v="1"/>
    <n v="2026"/>
    <x v="4"/>
    <s v="Mobile"/>
    <x v="1"/>
    <x v="3"/>
    <n v="12327"/>
    <s v="30-03-2026"/>
    <x v="3"/>
    <m/>
    <m/>
    <m/>
    <m/>
    <m/>
    <m/>
  </r>
  <r>
    <x v="447"/>
    <n v="5"/>
    <x v="2"/>
    <n v="2026"/>
    <x v="0"/>
    <s v="Mobile"/>
    <x v="3"/>
    <x v="3"/>
    <n v="12019"/>
    <s v="06-02-2026"/>
    <x v="0"/>
    <m/>
    <m/>
    <m/>
    <m/>
    <m/>
    <m/>
  </r>
  <r>
    <x v="448"/>
    <n v="12"/>
    <x v="0"/>
    <n v="2026"/>
    <x v="2"/>
    <s v="Laptop"/>
    <x v="1"/>
    <x v="1"/>
    <n v="22970"/>
    <s v="17-01-2026"/>
    <x v="2"/>
    <m/>
    <m/>
    <m/>
    <m/>
    <m/>
    <m/>
  </r>
  <r>
    <x v="449"/>
    <n v="24"/>
    <x v="1"/>
    <n v="2026"/>
    <x v="3"/>
    <s v="Mobile"/>
    <x v="1"/>
    <x v="1"/>
    <n v="45916"/>
    <s v="27-03-2026"/>
    <x v="2"/>
    <m/>
    <m/>
    <m/>
    <m/>
    <m/>
    <m/>
  </r>
  <r>
    <x v="450"/>
    <n v="24"/>
    <x v="0"/>
    <n v="2026"/>
    <x v="0"/>
    <s v="Laptop"/>
    <x v="3"/>
    <x v="3"/>
    <n v="18954"/>
    <s v="01-02-2026"/>
    <x v="0"/>
    <m/>
    <m/>
    <m/>
    <m/>
    <m/>
    <m/>
  </r>
  <r>
    <x v="451"/>
    <n v="10"/>
    <x v="2"/>
    <n v="2026"/>
    <x v="0"/>
    <s v="Tablet"/>
    <x v="0"/>
    <x v="1"/>
    <n v="75250"/>
    <s v="13-02-2026"/>
    <x v="1"/>
    <m/>
    <m/>
    <m/>
    <m/>
    <m/>
    <m/>
  </r>
  <r>
    <x v="452"/>
    <n v="22"/>
    <x v="2"/>
    <n v="2026"/>
    <x v="1"/>
    <s v="Laptop"/>
    <x v="0"/>
    <x v="0"/>
    <n v="5986"/>
    <s v="01-03-2026"/>
    <x v="3"/>
    <m/>
    <m/>
    <m/>
    <m/>
    <m/>
    <m/>
  </r>
  <r>
    <x v="453"/>
    <n v="17"/>
    <x v="0"/>
    <n v="2026"/>
    <x v="1"/>
    <s v="Laptop"/>
    <x v="3"/>
    <x v="1"/>
    <n v="15191"/>
    <s v="24-01-2026"/>
    <x v="3"/>
    <m/>
    <m/>
    <m/>
    <m/>
    <m/>
    <m/>
  </r>
  <r>
    <x v="454"/>
    <n v="8"/>
    <x v="2"/>
    <n v="2026"/>
    <x v="4"/>
    <s v="Mobile"/>
    <x v="2"/>
    <x v="4"/>
    <n v="35799"/>
    <s v="16-02-2026"/>
    <x v="1"/>
    <m/>
    <m/>
    <m/>
    <m/>
    <m/>
    <m/>
  </r>
  <r>
    <x v="455"/>
    <n v="24"/>
    <x v="1"/>
    <n v="2026"/>
    <x v="2"/>
    <s v="Laptop"/>
    <x v="2"/>
    <x v="1"/>
    <n v="59409"/>
    <s v="29-03-2026"/>
    <x v="1"/>
    <m/>
    <m/>
    <m/>
    <m/>
    <m/>
    <m/>
  </r>
  <r>
    <x v="456"/>
    <n v="2"/>
    <x v="1"/>
    <n v="2026"/>
    <x v="3"/>
    <s v="Mobile"/>
    <x v="3"/>
    <x v="2"/>
    <n v="19011"/>
    <s v="10-03-2026"/>
    <x v="1"/>
    <m/>
    <m/>
    <m/>
    <m/>
    <m/>
    <m/>
  </r>
  <r>
    <x v="457"/>
    <n v="27"/>
    <x v="1"/>
    <n v="2026"/>
    <x v="4"/>
    <s v="Tablet"/>
    <x v="3"/>
    <x v="1"/>
    <n v="63754"/>
    <s v="02-04-2026"/>
    <x v="0"/>
    <m/>
    <m/>
    <m/>
    <m/>
    <m/>
    <m/>
  </r>
  <r>
    <x v="458"/>
    <n v="27"/>
    <x v="2"/>
    <n v="2026"/>
    <x v="1"/>
    <s v="Laptop"/>
    <x v="2"/>
    <x v="4"/>
    <n v="33514"/>
    <s v="02-03-2026"/>
    <x v="3"/>
    <m/>
    <m/>
    <m/>
    <m/>
    <m/>
    <m/>
  </r>
  <r>
    <x v="459"/>
    <n v="23"/>
    <x v="0"/>
    <n v="2026"/>
    <x v="3"/>
    <s v="Mobile"/>
    <x v="2"/>
    <x v="3"/>
    <n v="36910"/>
    <s v="27-01-2026"/>
    <x v="2"/>
    <m/>
    <m/>
    <m/>
    <m/>
    <m/>
    <m/>
  </r>
  <r>
    <x v="460"/>
    <n v="15"/>
    <x v="0"/>
    <n v="2026"/>
    <x v="3"/>
    <s v="Accessories"/>
    <x v="2"/>
    <x v="4"/>
    <n v="51389"/>
    <s v="21-01-2026"/>
    <x v="3"/>
    <m/>
    <m/>
    <m/>
    <m/>
    <m/>
    <m/>
  </r>
  <r>
    <x v="461"/>
    <n v="9"/>
    <x v="0"/>
    <n v="2026"/>
    <x v="3"/>
    <s v="Tablet"/>
    <x v="0"/>
    <x v="3"/>
    <n v="46901"/>
    <s v="15-01-2026"/>
    <x v="0"/>
    <m/>
    <m/>
    <m/>
    <m/>
    <m/>
    <m/>
  </r>
  <r>
    <x v="462"/>
    <n v="10"/>
    <x v="1"/>
    <n v="2026"/>
    <x v="4"/>
    <s v="Mobile"/>
    <x v="1"/>
    <x v="1"/>
    <n v="7260"/>
    <s v="16-03-2026"/>
    <x v="3"/>
    <m/>
    <m/>
    <m/>
    <m/>
    <m/>
    <m/>
  </r>
  <r>
    <x v="463"/>
    <n v="19"/>
    <x v="1"/>
    <n v="2026"/>
    <x v="4"/>
    <s v="Tablet"/>
    <x v="2"/>
    <x v="0"/>
    <n v="31541"/>
    <s v="24-03-2026"/>
    <x v="1"/>
    <m/>
    <m/>
    <m/>
    <m/>
    <m/>
    <m/>
  </r>
  <r>
    <x v="464"/>
    <n v="18"/>
    <x v="0"/>
    <n v="2026"/>
    <x v="4"/>
    <s v="Accessories"/>
    <x v="1"/>
    <x v="4"/>
    <n v="53879"/>
    <s v="22-01-2026"/>
    <x v="0"/>
    <m/>
    <m/>
    <m/>
    <m/>
    <m/>
    <m/>
  </r>
  <r>
    <x v="465"/>
    <n v="19"/>
    <x v="2"/>
    <n v="2026"/>
    <x v="3"/>
    <s v="Accessories"/>
    <x v="1"/>
    <x v="2"/>
    <n v="17586"/>
    <s v="01-03-2026"/>
    <x v="0"/>
    <m/>
    <m/>
    <m/>
    <m/>
    <m/>
    <m/>
  </r>
  <r>
    <x v="466"/>
    <n v="13"/>
    <x v="1"/>
    <n v="2026"/>
    <x v="1"/>
    <s v="Tablet"/>
    <x v="3"/>
    <x v="4"/>
    <n v="75622"/>
    <s v="16-03-2026"/>
    <x v="1"/>
    <m/>
    <m/>
    <m/>
    <m/>
    <m/>
    <m/>
  </r>
  <r>
    <x v="467"/>
    <n v="5"/>
    <x v="1"/>
    <n v="2026"/>
    <x v="0"/>
    <s v="Laptop"/>
    <x v="1"/>
    <x v="1"/>
    <n v="41099"/>
    <s v="10-03-2026"/>
    <x v="1"/>
    <m/>
    <m/>
    <m/>
    <m/>
    <m/>
    <m/>
  </r>
  <r>
    <x v="468"/>
    <n v="25"/>
    <x v="0"/>
    <n v="2026"/>
    <x v="3"/>
    <s v="Mobile"/>
    <x v="2"/>
    <x v="0"/>
    <n v="65434"/>
    <s v="01-02-2026"/>
    <x v="1"/>
    <m/>
    <m/>
    <m/>
    <m/>
    <m/>
    <m/>
  </r>
  <r>
    <x v="469"/>
    <n v="25"/>
    <x v="1"/>
    <n v="2026"/>
    <x v="1"/>
    <s v="Tablet"/>
    <x v="2"/>
    <x v="2"/>
    <n v="64760"/>
    <s v="04-04-2026"/>
    <x v="3"/>
    <m/>
    <m/>
    <m/>
    <m/>
    <m/>
    <m/>
  </r>
  <r>
    <x v="470"/>
    <n v="14"/>
    <x v="2"/>
    <n v="2026"/>
    <x v="0"/>
    <s v="Accessories"/>
    <x v="0"/>
    <x v="3"/>
    <n v="18133"/>
    <s v="16-02-2026"/>
    <x v="2"/>
    <m/>
    <m/>
    <m/>
    <m/>
    <m/>
    <m/>
  </r>
  <r>
    <x v="471"/>
    <n v="27"/>
    <x v="1"/>
    <n v="2026"/>
    <x v="4"/>
    <s v="Tablet"/>
    <x v="3"/>
    <x v="4"/>
    <n v="57055"/>
    <s v="31-03-2026"/>
    <x v="0"/>
    <m/>
    <m/>
    <m/>
    <m/>
    <m/>
    <m/>
  </r>
  <r>
    <x v="472"/>
    <n v="2"/>
    <x v="2"/>
    <n v="2026"/>
    <x v="1"/>
    <s v="Laptop"/>
    <x v="1"/>
    <x v="3"/>
    <n v="63323"/>
    <s v="05-02-2026"/>
    <x v="1"/>
    <m/>
    <m/>
    <m/>
    <m/>
    <m/>
    <m/>
  </r>
  <r>
    <x v="473"/>
    <n v="22"/>
    <x v="0"/>
    <n v="2026"/>
    <x v="4"/>
    <s v="Tablet"/>
    <x v="3"/>
    <x v="0"/>
    <n v="32188"/>
    <s v="29-01-2026"/>
    <x v="2"/>
    <m/>
    <m/>
    <m/>
    <m/>
    <m/>
    <m/>
  </r>
  <r>
    <x v="474"/>
    <n v="6"/>
    <x v="1"/>
    <n v="2026"/>
    <x v="3"/>
    <s v="Laptop"/>
    <x v="3"/>
    <x v="1"/>
    <n v="10998"/>
    <s v="08-03-2026"/>
    <x v="0"/>
    <m/>
    <m/>
    <m/>
    <m/>
    <m/>
    <m/>
  </r>
  <r>
    <x v="475"/>
    <n v="9"/>
    <x v="1"/>
    <n v="2026"/>
    <x v="4"/>
    <s v="Accessories"/>
    <x v="3"/>
    <x v="3"/>
    <n v="54051"/>
    <s v="18-03-2026"/>
    <x v="0"/>
    <m/>
    <m/>
    <m/>
    <m/>
    <m/>
    <m/>
  </r>
  <r>
    <x v="476"/>
    <n v="20"/>
    <x v="2"/>
    <n v="2026"/>
    <x v="1"/>
    <s v="Tablet"/>
    <x v="0"/>
    <x v="0"/>
    <n v="72931"/>
    <s v="02-03-2026"/>
    <x v="0"/>
    <m/>
    <m/>
    <m/>
    <m/>
    <m/>
    <m/>
  </r>
  <r>
    <x v="477"/>
    <n v="26"/>
    <x v="1"/>
    <n v="2026"/>
    <x v="0"/>
    <s v="Laptop"/>
    <x v="3"/>
    <x v="4"/>
    <n v="75640"/>
    <s v="02-04-2026"/>
    <x v="0"/>
    <m/>
    <m/>
    <m/>
    <m/>
    <m/>
    <m/>
  </r>
  <r>
    <x v="478"/>
    <n v="14"/>
    <x v="1"/>
    <n v="2026"/>
    <x v="0"/>
    <s v="Tablet"/>
    <x v="1"/>
    <x v="1"/>
    <n v="14640"/>
    <s v="21-03-2026"/>
    <x v="0"/>
    <m/>
    <m/>
    <m/>
    <m/>
    <m/>
    <m/>
  </r>
  <r>
    <x v="479"/>
    <n v="21"/>
    <x v="1"/>
    <n v="2026"/>
    <x v="4"/>
    <s v="Mobile"/>
    <x v="3"/>
    <x v="0"/>
    <n v="32264"/>
    <s v="30-03-2026"/>
    <x v="2"/>
    <m/>
    <m/>
    <m/>
    <m/>
    <m/>
    <m/>
  </r>
  <r>
    <x v="480"/>
    <n v="21"/>
    <x v="2"/>
    <n v="2026"/>
    <x v="3"/>
    <s v="Laptop"/>
    <x v="2"/>
    <x v="4"/>
    <n v="30539"/>
    <s v="23-02-2026"/>
    <x v="1"/>
    <m/>
    <m/>
    <m/>
    <m/>
    <m/>
    <m/>
  </r>
  <r>
    <x v="481"/>
    <n v="25"/>
    <x v="1"/>
    <n v="2026"/>
    <x v="1"/>
    <s v="Tablet"/>
    <x v="0"/>
    <x v="2"/>
    <n v="52747"/>
    <s v="29-03-2026"/>
    <x v="1"/>
    <m/>
    <m/>
    <m/>
    <m/>
    <m/>
    <m/>
  </r>
  <r>
    <x v="482"/>
    <n v="4"/>
    <x v="0"/>
    <n v="2026"/>
    <x v="1"/>
    <s v="Mobile"/>
    <x v="1"/>
    <x v="3"/>
    <n v="8114"/>
    <s v="09-01-2026"/>
    <x v="0"/>
    <m/>
    <m/>
    <m/>
    <m/>
    <m/>
    <m/>
  </r>
  <r>
    <x v="483"/>
    <n v="25"/>
    <x v="1"/>
    <n v="2026"/>
    <x v="4"/>
    <s v="Laptop"/>
    <x v="0"/>
    <x v="3"/>
    <n v="52395"/>
    <s v="03-04-2026"/>
    <x v="3"/>
    <m/>
    <m/>
    <m/>
    <m/>
    <m/>
    <m/>
  </r>
  <r>
    <x v="484"/>
    <n v="7"/>
    <x v="0"/>
    <n v="2026"/>
    <x v="1"/>
    <s v="Mobile"/>
    <x v="2"/>
    <x v="1"/>
    <n v="50082"/>
    <s v="08-01-2026"/>
    <x v="2"/>
    <m/>
    <m/>
    <m/>
    <m/>
    <m/>
    <m/>
  </r>
  <r>
    <x v="485"/>
    <n v="3"/>
    <x v="1"/>
    <n v="2026"/>
    <x v="3"/>
    <s v="Accessories"/>
    <x v="1"/>
    <x v="1"/>
    <n v="23824"/>
    <s v="07-03-2026"/>
    <x v="2"/>
    <m/>
    <m/>
    <m/>
    <m/>
    <m/>
    <m/>
  </r>
  <r>
    <x v="486"/>
    <n v="3"/>
    <x v="0"/>
    <n v="2026"/>
    <x v="0"/>
    <s v="Accessories"/>
    <x v="3"/>
    <x v="0"/>
    <n v="50542"/>
    <s v="05-01-2026"/>
    <x v="2"/>
    <m/>
    <m/>
    <m/>
    <m/>
    <m/>
    <m/>
  </r>
  <r>
    <x v="487"/>
    <n v="16"/>
    <x v="2"/>
    <n v="2026"/>
    <x v="1"/>
    <s v="Tablet"/>
    <x v="1"/>
    <x v="0"/>
    <n v="7154"/>
    <s v="18-02-2026"/>
    <x v="3"/>
    <m/>
    <m/>
    <m/>
    <m/>
    <m/>
    <m/>
  </r>
  <r>
    <x v="488"/>
    <n v="23"/>
    <x v="1"/>
    <n v="2026"/>
    <x v="4"/>
    <s v="Tablet"/>
    <x v="1"/>
    <x v="3"/>
    <n v="65755"/>
    <s v="02-04-2026"/>
    <x v="3"/>
    <m/>
    <m/>
    <m/>
    <m/>
    <m/>
    <m/>
  </r>
  <r>
    <x v="489"/>
    <n v="20"/>
    <x v="2"/>
    <n v="2026"/>
    <x v="3"/>
    <s v="Mobile"/>
    <x v="1"/>
    <x v="0"/>
    <n v="30818"/>
    <s v="01-03-2026"/>
    <x v="3"/>
    <m/>
    <m/>
    <m/>
    <m/>
    <m/>
    <m/>
  </r>
  <r>
    <x v="490"/>
    <n v="18"/>
    <x v="2"/>
    <n v="2026"/>
    <x v="2"/>
    <s v="Tablet"/>
    <x v="1"/>
    <x v="1"/>
    <n v="75065"/>
    <s v="22-02-2026"/>
    <x v="3"/>
    <m/>
    <m/>
    <m/>
    <m/>
    <m/>
    <m/>
  </r>
  <r>
    <x v="491"/>
    <n v="19"/>
    <x v="1"/>
    <n v="2026"/>
    <x v="1"/>
    <s v="Tablet"/>
    <x v="1"/>
    <x v="4"/>
    <n v="19279"/>
    <s v="28-03-2026"/>
    <x v="2"/>
    <m/>
    <m/>
    <m/>
    <m/>
    <m/>
    <m/>
  </r>
  <r>
    <x v="492"/>
    <n v="28"/>
    <x v="0"/>
    <n v="2026"/>
    <x v="4"/>
    <s v="Laptop"/>
    <x v="1"/>
    <x v="0"/>
    <n v="71473"/>
    <s v="03-02-2026"/>
    <x v="3"/>
    <m/>
    <m/>
    <m/>
    <m/>
    <m/>
    <m/>
  </r>
  <r>
    <x v="493"/>
    <n v="1"/>
    <x v="2"/>
    <n v="2026"/>
    <x v="3"/>
    <s v="Laptop"/>
    <x v="1"/>
    <x v="1"/>
    <n v="48120"/>
    <s v="04-02-2026"/>
    <x v="3"/>
    <m/>
    <m/>
    <m/>
    <m/>
    <m/>
    <m/>
  </r>
  <r>
    <x v="494"/>
    <n v="22"/>
    <x v="1"/>
    <n v="2026"/>
    <x v="4"/>
    <s v="Mobile"/>
    <x v="3"/>
    <x v="2"/>
    <n v="64596"/>
    <s v="29-03-2026"/>
    <x v="0"/>
    <m/>
    <m/>
    <m/>
    <m/>
    <m/>
    <m/>
  </r>
  <r>
    <x v="495"/>
    <n v="23"/>
    <x v="0"/>
    <n v="2026"/>
    <x v="2"/>
    <s v="Tablet"/>
    <x v="2"/>
    <x v="3"/>
    <n v="22460"/>
    <s v="28-01-2026"/>
    <x v="2"/>
    <m/>
    <m/>
    <m/>
    <m/>
    <m/>
    <m/>
  </r>
  <r>
    <x v="496"/>
    <n v="7"/>
    <x v="1"/>
    <n v="2026"/>
    <x v="1"/>
    <s v="Tablet"/>
    <x v="2"/>
    <x v="3"/>
    <n v="76347"/>
    <s v="17-03-2026"/>
    <x v="3"/>
    <m/>
    <m/>
    <m/>
    <m/>
    <m/>
    <m/>
  </r>
  <r>
    <x v="497"/>
    <n v="2"/>
    <x v="0"/>
    <n v="2026"/>
    <x v="1"/>
    <s v="Tablet"/>
    <x v="1"/>
    <x v="1"/>
    <n v="33425"/>
    <s v="10-01-2026"/>
    <x v="1"/>
    <m/>
    <m/>
    <m/>
    <m/>
    <m/>
    <m/>
  </r>
  <r>
    <x v="498"/>
    <n v="7"/>
    <x v="1"/>
    <n v="2026"/>
    <x v="1"/>
    <s v="Laptop"/>
    <x v="3"/>
    <x v="0"/>
    <n v="54670"/>
    <s v="09-03-2026"/>
    <x v="1"/>
    <m/>
    <m/>
    <m/>
    <m/>
    <m/>
    <m/>
  </r>
  <r>
    <x v="499"/>
    <n v="8"/>
    <x v="0"/>
    <n v="2026"/>
    <x v="3"/>
    <s v="Accessories"/>
    <x v="1"/>
    <x v="0"/>
    <n v="54387"/>
    <s v="17-01-2026"/>
    <x v="3"/>
    <m/>
    <m/>
    <m/>
    <m/>
    <m/>
    <m/>
  </r>
  <r>
    <x v="500"/>
    <m/>
    <x v="4"/>
    <m/>
    <x v="5"/>
    <m/>
    <x v="4"/>
    <x v="5"/>
    <m/>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95DB6-E469-4897-8704-6E0A1610E14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showAll="0"/>
    <pivotField showAll="0"/>
    <pivotField showAll="0"/>
    <pivotField showAll="0"/>
    <pivotField showAll="0"/>
    <pivotField showAll="0"/>
    <pivotField showAll="0">
      <items count="6">
        <item x="2"/>
        <item x="3"/>
        <item x="1"/>
        <item x="0"/>
        <item x="4"/>
        <item t="default"/>
      </items>
    </pivotField>
    <pivotField showAll="0">
      <items count="7">
        <item h="1" x="3"/>
        <item h="1" x="1"/>
        <item h="1" x="2"/>
        <item h="1" x="4"/>
        <item x="0"/>
        <item h="1" x="5"/>
        <item t="default"/>
      </items>
    </pivotField>
    <pivotField showAll="0"/>
    <pivotField showAll="0"/>
    <pivotField showAll="0">
      <items count="6">
        <item x="3"/>
        <item x="2"/>
        <item x="1"/>
        <item x="0"/>
        <item x="4"/>
        <item t="default"/>
      </items>
    </pivotField>
    <pivotField dataField="1" showAll="0"/>
    <pivotField dataField="1" showAll="0"/>
    <pivotField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Total Leads" fld="11" baseField="0" baseItem="0"/>
    <dataField name="Sum of Converted Leads" fld="12" baseField="0" baseItem="0"/>
    <dataField name="Sum of Conversion Rate" fld="14" baseField="0" baseItem="0"/>
    <dataField name="Sum of Total Revenue" fld="15" baseField="0" baseItem="0"/>
    <dataField name="Sum of Average Deal Size" fld="16" baseField="0" baseItem="0"/>
  </dataFields>
  <formats count="4">
    <format dxfId="3">
      <pivotArea type="all" dataOnly="0" outline="0" fieldPosition="0"/>
    </format>
    <format dxfId="2">
      <pivotArea outline="0" collapsedLevelsAreSubtotals="1" fieldPosition="0"/>
    </format>
    <format dxfId="1">
      <pivotArea dataOnly="0" labelOnly="1" outline="0" fieldPosition="0">
        <references count="1">
          <reference field="4294967294" count="5">
            <x v="0"/>
            <x v="1"/>
            <x v="2"/>
            <x v="3"/>
            <x v="4"/>
          </reference>
        </references>
      </pivotArea>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A1A074-2FA5-4C26-8F3B-4218347E303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7">
    <pivotField showAll="0"/>
    <pivotField showAll="0"/>
    <pivotField showAll="0"/>
    <pivotField showAll="0"/>
    <pivotField axis="axisRow" showAll="0">
      <items count="7">
        <item x="1"/>
        <item x="4"/>
        <item x="3"/>
        <item x="2"/>
        <item x="0"/>
        <item x="5"/>
        <item t="default"/>
      </items>
    </pivotField>
    <pivotField showAll="0"/>
    <pivotField showAll="0">
      <items count="6">
        <item x="2"/>
        <item x="3"/>
        <item x="1"/>
        <item x="0"/>
        <item x="4"/>
        <item t="default"/>
      </items>
    </pivotField>
    <pivotField dataField="1" showAll="0">
      <items count="7">
        <item x="3"/>
        <item x="1"/>
        <item x="2"/>
        <item x="4"/>
        <item x="0"/>
        <item x="5"/>
        <item t="default"/>
      </items>
    </pivotField>
    <pivotField showAll="0"/>
    <pivotField showAll="0"/>
    <pivotField showAll="0">
      <items count="6">
        <item x="3"/>
        <item x="2"/>
        <item x="1"/>
        <item x="0"/>
        <item x="4"/>
        <item t="default"/>
      </items>
    </pivotField>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Status" fld="7"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ED0EBA-B333-4DD3-B69E-CE41A742863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17">
    <pivotField dataField="1" showAll="0"/>
    <pivotField showAll="0"/>
    <pivotField showAll="0"/>
    <pivotField showAll="0"/>
    <pivotField showAll="0"/>
    <pivotField showAll="0"/>
    <pivotField axis="axisRow" showAll="0">
      <items count="6">
        <item x="2"/>
        <item x="3"/>
        <item x="1"/>
        <item x="0"/>
        <item x="4"/>
        <item t="default"/>
      </items>
    </pivotField>
    <pivotField showAll="0">
      <items count="7">
        <item x="3"/>
        <item x="1"/>
        <item x="2"/>
        <item x="4"/>
        <item x="0"/>
        <item x="5"/>
        <item t="default"/>
      </items>
    </pivotField>
    <pivotField dataField="1" showAll="0"/>
    <pivotField showAll="0"/>
    <pivotField showAll="0">
      <items count="6">
        <item x="3"/>
        <item x="2"/>
        <item x="1"/>
        <item x="0"/>
        <item x="4"/>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Count of Lead ID" fld="0" subtotal="count" baseField="0" baseItem="0"/>
    <dataField name="Sum of Deal Value"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A3C154-4349-439F-A6A3-1C34AC98AF7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8" firstHeaderRow="1" firstDataRow="1" firstDataCol="1"/>
  <pivotFields count="17">
    <pivotField showAll="0"/>
    <pivotField showAll="0"/>
    <pivotField showAll="0"/>
    <pivotField showAll="0"/>
    <pivotField showAll="0"/>
    <pivotField showAll="0"/>
    <pivotField showAll="0">
      <items count="6">
        <item x="2"/>
        <item x="3"/>
        <item x="1"/>
        <item x="0"/>
        <item x="4"/>
        <item t="default"/>
      </items>
    </pivotField>
    <pivotField showAll="0">
      <items count="7">
        <item x="3"/>
        <item x="1"/>
        <item x="2"/>
        <item x="4"/>
        <item x="0"/>
        <item x="5"/>
        <item t="default"/>
      </items>
    </pivotField>
    <pivotField dataField="1" showAll="0"/>
    <pivotField showAll="0"/>
    <pivotField axis="axisRow" showAll="0">
      <items count="6">
        <item x="3"/>
        <item x="2"/>
        <item x="1"/>
        <item x="0"/>
        <item x="4"/>
        <item t="default"/>
      </items>
    </pivotField>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Deal Value" fld="8"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3"/>
          </reference>
        </references>
      </pivotArea>
    </chartFormat>
    <chartFormat chart="4" format="12">
      <pivotArea type="data" outline="0" fieldPosition="0">
        <references count="2">
          <reference field="4294967294" count="1" selected="0">
            <x v="0"/>
          </reference>
          <reference field="10" count="1" selected="0">
            <x v="4"/>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9EB190-6B3D-45EC-BFA9-87BFA15A093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9" firstHeaderRow="1" firstDataRow="1" firstDataCol="1"/>
  <pivotFields count="17">
    <pivotField dataField="1"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pivotField showAll="0"/>
    <pivotField showAll="0"/>
    <pivotField showAll="0">
      <items count="6">
        <item x="2"/>
        <item x="3"/>
        <item x="1"/>
        <item x="0"/>
        <item x="4"/>
        <item t="default"/>
      </items>
    </pivotField>
    <pivotField axis="axisRow" showAll="0">
      <items count="7">
        <item x="3"/>
        <item x="1"/>
        <item x="2"/>
        <item x="4"/>
        <item x="0"/>
        <item x="5"/>
        <item t="default"/>
      </items>
    </pivotField>
    <pivotField showAll="0"/>
    <pivotField showAll="0"/>
    <pivotField showAll="0">
      <items count="6">
        <item x="3"/>
        <item x="2"/>
        <item x="1"/>
        <item x="0"/>
        <item x="4"/>
        <item t="default"/>
      </items>
    </pivotField>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Lead ID" fld="0" subtotal="count" baseField="0" baseItem="0"/>
  </dataFields>
  <chartFormats count="14">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 chart="7" format="12">
      <pivotArea type="data" outline="0" fieldPosition="0">
        <references count="2">
          <reference field="4294967294" count="1" selected="0">
            <x v="0"/>
          </reference>
          <reference field="7" count="1" selected="0">
            <x v="3"/>
          </reference>
        </references>
      </pivotArea>
    </chartFormat>
    <chartFormat chart="7" format="13">
      <pivotArea type="data" outline="0" fieldPosition="0">
        <references count="2">
          <reference field="4294967294" count="1" selected="0">
            <x v="0"/>
          </reference>
          <reference field="7" count="1" selected="0">
            <x v="4"/>
          </reference>
        </references>
      </pivotArea>
    </chartFormat>
    <chartFormat chart="7" format="14">
      <pivotArea type="data" outline="0" fieldPosition="0">
        <references count="2">
          <reference field="4294967294" count="1" selected="0">
            <x v="0"/>
          </reference>
          <reference field="7" count="1" selected="0">
            <x v="5"/>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F631A9-99C6-46D7-8146-955FFB9D7FF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17">
    <pivotField dataField="1" showAll="0"/>
    <pivotField showAll="0"/>
    <pivotField axis="axisRow" showAll="0">
      <items count="6">
        <item x="0"/>
        <item x="2"/>
        <item x="1"/>
        <item x="3"/>
        <item x="4"/>
        <item t="default"/>
      </items>
    </pivotField>
    <pivotField showAll="0"/>
    <pivotField showAll="0"/>
    <pivotField showAll="0"/>
    <pivotField showAll="0">
      <items count="6">
        <item x="2"/>
        <item x="3"/>
        <item x="1"/>
        <item x="0"/>
        <item x="4"/>
        <item t="default"/>
      </items>
    </pivotField>
    <pivotField showAll="0">
      <items count="7">
        <item x="3"/>
        <item x="1"/>
        <item x="2"/>
        <item x="4"/>
        <item x="0"/>
        <item x="5"/>
        <item t="default"/>
      </items>
    </pivotField>
    <pivotField dataField="1" showAll="0"/>
    <pivotField showAll="0"/>
    <pivotField showAll="0">
      <items count="6">
        <item x="3"/>
        <item x="2"/>
        <item x="1"/>
        <item x="0"/>
        <item x="4"/>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Deal Value" fld="8" baseField="0" baseItem="0"/>
    <dataField name="Count of Lead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933F796-057F-4673-90F4-5CAD92A145F6}" autoFormatId="16" applyNumberFormats="0" applyBorderFormats="0" applyFontFormats="0" applyPatternFormats="0" applyAlignmentFormats="0" applyWidthHeightFormats="0">
  <queryTableRefresh nextId="12">
    <queryTableFields count="11">
      <queryTableField id="1" name="Lead ID" tableColumnId="1"/>
      <queryTableField id="2" name="Date" tableColumnId="2"/>
      <queryTableField id="3" name="Month" tableColumnId="3"/>
      <queryTableField id="4" name="Year" tableColumnId="4"/>
      <queryTableField id="5" name="Lead Source" tableColumnId="5"/>
      <queryTableField id="6" name="Product" tableColumnId="6"/>
      <queryTableField id="7" name="Salesperson" tableColumnId="7"/>
      <queryTableField id="8" name="Status" tableColumnId="8"/>
      <queryTableField id="9" name="Deal Value" tableColumnId="9"/>
      <queryTableField id="10" name="Follow-up Date" tableColumnId="10"/>
      <queryTableField id="11" name="Regio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EE0FF13-4A1A-4BFA-804C-B7507D8402B9}" sourceName="Salesperson">
  <pivotTables>
    <pivotTable tabId="6" name="PivotTable17"/>
    <pivotTable tabId="29" name="PivotTable16"/>
    <pivotTable tabId="31" name="PivotTable21"/>
    <pivotTable tabId="7" name="PivotTable19"/>
    <pivotTable tabId="8" name="PivotTable20"/>
  </pivotTables>
  <data>
    <tabular pivotCacheId="91556913">
      <items count="5">
        <i x="2" s="1"/>
        <i x="3" s="1"/>
        <i x="1"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EFA5B22-B336-4FF9-A3E6-D86F077BD836}" sourceName="Status">
  <pivotTables>
    <pivotTable tabId="6" name="PivotTable17"/>
    <pivotTable tabId="29" name="PivotTable16"/>
    <pivotTable tabId="31" name="PivotTable21"/>
    <pivotTable tabId="7" name="PivotTable19"/>
    <pivotTable tabId="8" name="PivotTable20"/>
  </pivotTables>
  <data>
    <tabular pivotCacheId="91556913">
      <items count="6">
        <i x="3" s="1"/>
        <i x="1" s="1"/>
        <i x="2" s="1"/>
        <i x="4" s="1"/>
        <i x="0"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934395-1C08-4F1A-8746-E0ABFF3A7F10}" sourceName="Region">
  <pivotTables>
    <pivotTable tabId="6" name="PivotTable17"/>
    <pivotTable tabId="29" name="PivotTable16"/>
    <pivotTable tabId="31" name="PivotTable21"/>
    <pivotTable tabId="7" name="PivotTable19"/>
    <pivotTable tabId="8" name="PivotTable20"/>
  </pivotTables>
  <data>
    <tabular pivotCacheId="91556913">
      <items count="5">
        <i x="3" s="1"/>
        <i x="2" s="1"/>
        <i x="1"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331D0B9B-75DE-4350-8265-08167A4E9DB8}" cache="Slicer_Salesperson" caption="Salesperson" style="SlicerStyleLight6" rowHeight="241300"/>
  <slicer name="Status" xr10:uid="{5E13F24E-E2DD-4620-9AA2-013B424E5405}" cache="Slicer_Status" caption="Status" style="SlicerStyleLight6" rowHeight="241300"/>
  <slicer name="Region" xr10:uid="{904CED10-D7BD-48AB-8BE5-9D59F05B31F0}" cache="Slicer_Region" caption="Region"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845AA0D-2820-4C08-999B-1A3A92A10868}" name="Table7_1" displayName="Table7_1" ref="A1:K501" tableType="queryTable" totalsRowShown="0">
  <autoFilter ref="A1:K501" xr:uid="{F845AA0D-2820-4C08-999B-1A3A92A10868}"/>
  <tableColumns count="11">
    <tableColumn id="1" xr3:uid="{30657D0E-AC45-4081-88FE-97DEA594EDB8}" uniqueName="1" name="Lead ID" queryTableFieldId="1" dataDxfId="46"/>
    <tableColumn id="2" xr3:uid="{7FFF54F2-8A5D-4EFE-B089-646844A0F684}" uniqueName="2" name="Date" queryTableFieldId="2"/>
    <tableColumn id="3" xr3:uid="{614B8AC1-8305-477E-AF9B-8396616F149B}" uniqueName="3" name="Month" queryTableFieldId="3"/>
    <tableColumn id="4" xr3:uid="{BD4C3738-546B-432C-8DDB-9844175A1EDF}" uniqueName="4" name="Year" queryTableFieldId="4"/>
    <tableColumn id="5" xr3:uid="{F15F33BB-92DE-4471-BD01-08868FAB387B}" uniqueName="5" name="Lead Source" queryTableFieldId="5" dataDxfId="45"/>
    <tableColumn id="6" xr3:uid="{B4B5118F-B127-4AA1-8552-CF40701EA3CC}" uniqueName="6" name="Product" queryTableFieldId="6" dataDxfId="44"/>
    <tableColumn id="7" xr3:uid="{80CB6517-45F5-4DD5-9180-5B61036958C1}" uniqueName="7" name="Salesperson" queryTableFieldId="7" dataDxfId="43"/>
    <tableColumn id="8" xr3:uid="{0EB4510A-B4F4-42A8-B327-105968A153EE}" uniqueName="8" name="Status" queryTableFieldId="8" dataDxfId="42"/>
    <tableColumn id="9" xr3:uid="{C250E194-D898-4F51-B755-D9153B4D4290}" uniqueName="9" name="Deal Value" queryTableFieldId="9"/>
    <tableColumn id="10" xr3:uid="{1F496EB2-D5B4-4AB3-9794-0547692E1B7E}" uniqueName="10" name="Follow-up Date" queryTableFieldId="10" dataDxfId="41"/>
    <tableColumn id="11" xr3:uid="{12AE2F0E-CFF5-4153-BA69-A9B221D7C484}" uniqueName="11" name="Region" queryTableFieldId="11" dataDxfId="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838880-D1E5-4869-B8A7-8FEB0F093EA0}" name="Table6" displayName="Table6" ref="Q1:Q2" totalsRowShown="0" headerRowDxfId="39" dataDxfId="37" headerRowBorderDxfId="38" tableBorderDxfId="36" totalsRowBorderDxfId="35">
  <autoFilter ref="Q1:Q2" xr:uid="{1D838880-D1E5-4869-B8A7-8FEB0F093EA0}"/>
  <tableColumns count="1">
    <tableColumn id="1" xr3:uid="{CB3B3BE9-92E3-4586-BCAF-4D7C67152183}" name="Average Deal Size" dataDxfId="34">
      <calculatedColumnFormula>AVERAGE(I2:I501)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CF651B-DC47-49EC-9ECD-645D49BB9C92}" name="Table5" displayName="Table5" ref="P1:P2" totalsRowShown="0" headerRowDxfId="33" dataDxfId="31" headerRowBorderDxfId="32" tableBorderDxfId="30" totalsRowBorderDxfId="29">
  <autoFilter ref="P1:P2" xr:uid="{30CF651B-DC47-49EC-9ECD-645D49BB9C92}"/>
  <tableColumns count="1">
    <tableColumn id="1" xr3:uid="{69BAF703-C38F-4F9A-84CD-6EFF0A161E56}" name="Total Revenue" dataDxfId="28">
      <calculatedColumnFormula>SUM(I2:I501)</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32C2BF-62CB-443E-AFA9-76692B7E8180}" name="Table4" displayName="Table4" ref="O1:O2" totalsRowShown="0" headerRowDxfId="27" dataDxfId="25" headerRowBorderDxfId="26" tableBorderDxfId="24" totalsRowBorderDxfId="23" dataCellStyle="Percent">
  <autoFilter ref="O1:O2" xr:uid="{9532C2BF-62CB-443E-AFA9-76692B7E8180}"/>
  <tableColumns count="1">
    <tableColumn id="1" xr3:uid="{3A402E35-EDB9-4B88-8A9C-9F4DE4BF9A63}" name="Conversion Rate" dataDxfId="22" dataCellStyle="Percent">
      <calculatedColumnFormula>M2/L2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3DFF1B-C595-4A42-83F7-ADE8D1B6D051}" name="Table3" displayName="Table3" ref="N1:N2" totalsRowShown="0" headerRowDxfId="21" dataDxfId="19" headerRowBorderDxfId="20" tableBorderDxfId="18" totalsRowBorderDxfId="17">
  <autoFilter ref="N1:N2" xr:uid="{5E3DFF1B-C595-4A42-83F7-ADE8D1B6D051}"/>
  <tableColumns count="1">
    <tableColumn id="1" xr3:uid="{60432E0F-6BC7-48E3-B68E-087ECEE68F0F}" name="Lost Leads" dataDxfId="16">
      <calculatedColumnFormula>COUNTIF(H2:H501, "Lost")</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3351C2-E43A-4204-A367-985979E55D7B}" name="Table2" displayName="Table2" ref="M1:M2" totalsRowShown="0" headerRowDxfId="15" dataDxfId="13" headerRowBorderDxfId="14" tableBorderDxfId="12" totalsRowBorderDxfId="11">
  <autoFilter ref="M1:M2" xr:uid="{833351C2-E43A-4204-A367-985979E55D7B}"/>
  <tableColumns count="1">
    <tableColumn id="1" xr3:uid="{361BE759-873B-4347-B13C-645502E2DF44}" name="Converted Leads" dataDxfId="10">
      <calculatedColumnFormula>COUNTIF(Table7_1[Status], "Converted")</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1B8112-0BF0-4FBA-958C-18FC88F18E68}" name="Table1" displayName="Table1" ref="L1:L2" totalsRowShown="0" headerRowDxfId="9" dataDxfId="7" headerRowBorderDxfId="8" tableBorderDxfId="6" totalsRowBorderDxfId="5">
  <autoFilter ref="L1:L2" xr:uid="{021B8112-0BF0-4FBA-958C-18FC88F18E68}"/>
  <tableColumns count="1">
    <tableColumn id="1" xr3:uid="{78652C21-8730-4C01-B6EB-0CB5223B6553}" name="Total Leads" dataDxfId="4">
      <calculatedColumnFormula>COUNTA(A2:A501)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B0E2F-050C-426C-8C88-B45413CF4C73}">
  <dimension ref="A1:Q501"/>
  <sheetViews>
    <sheetView workbookViewId="0">
      <selection activeCell="G1" sqref="G1"/>
    </sheetView>
  </sheetViews>
  <sheetFormatPr defaultRowHeight="14.4" x14ac:dyDescent="0.3"/>
  <cols>
    <col min="1" max="1" width="9.6640625" bestFit="1" customWidth="1"/>
    <col min="2" max="2" width="7.44140625" bestFit="1" customWidth="1"/>
    <col min="3" max="3" width="9.33203125" bestFit="1" customWidth="1"/>
    <col min="4" max="4" width="7.33203125" bestFit="1" customWidth="1"/>
    <col min="5" max="5" width="13.88671875" bestFit="1" customWidth="1"/>
    <col min="6" max="6" width="11.33203125" bestFit="1" customWidth="1"/>
    <col min="7" max="7" width="14" bestFit="1" customWidth="1"/>
    <col min="8" max="8" width="10.33203125" bestFit="1" customWidth="1"/>
    <col min="9" max="9" width="12.88671875" bestFit="1" customWidth="1"/>
    <col min="10" max="10" width="17" bestFit="1" customWidth="1"/>
    <col min="11" max="11" width="9.44140625" bestFit="1" customWidth="1"/>
    <col min="13" max="13" width="21" bestFit="1" customWidth="1"/>
    <col min="14" max="14" width="14.109375" bestFit="1" customWidth="1"/>
    <col min="15" max="15" width="20.6640625" bestFit="1" customWidth="1"/>
    <col min="16" max="16" width="18.5546875" bestFit="1" customWidth="1"/>
    <col min="17" max="17" width="22.44140625" bestFit="1" customWidth="1"/>
  </cols>
  <sheetData>
    <row r="1" spans="1:17" ht="18" x14ac:dyDescent="0.35">
      <c r="A1" t="s">
        <v>0</v>
      </c>
      <c r="B1" t="s">
        <v>1</v>
      </c>
      <c r="C1" t="s">
        <v>641</v>
      </c>
      <c r="D1" t="s">
        <v>642</v>
      </c>
      <c r="E1" t="s">
        <v>2</v>
      </c>
      <c r="F1" t="s">
        <v>3</v>
      </c>
      <c r="G1" t="s">
        <v>4</v>
      </c>
      <c r="H1" t="s">
        <v>5</v>
      </c>
      <c r="I1" t="s">
        <v>6</v>
      </c>
      <c r="J1" t="s">
        <v>7</v>
      </c>
      <c r="K1" t="s">
        <v>8</v>
      </c>
      <c r="L1" s="3" t="s">
        <v>627</v>
      </c>
      <c r="M1" s="3" t="s">
        <v>628</v>
      </c>
      <c r="N1" s="3" t="s">
        <v>630</v>
      </c>
      <c r="O1" s="3" t="s">
        <v>631</v>
      </c>
      <c r="P1" s="3" t="s">
        <v>632</v>
      </c>
      <c r="Q1" s="3" t="s">
        <v>633</v>
      </c>
    </row>
    <row r="2" spans="1:17" ht="15.6" x14ac:dyDescent="0.3">
      <c r="A2" t="s">
        <v>9</v>
      </c>
      <c r="B2">
        <v>24</v>
      </c>
      <c r="C2">
        <v>1</v>
      </c>
      <c r="D2">
        <v>2026</v>
      </c>
      <c r="E2" t="s">
        <v>11</v>
      </c>
      <c r="F2" t="s">
        <v>12</v>
      </c>
      <c r="G2" t="s">
        <v>13</v>
      </c>
      <c r="H2" t="s">
        <v>14</v>
      </c>
      <c r="I2">
        <v>68150</v>
      </c>
      <c r="J2" t="s">
        <v>15</v>
      </c>
      <c r="K2" t="s">
        <v>16</v>
      </c>
      <c r="L2" s="4">
        <f>COUNTA(A2:A501)</f>
        <v>500</v>
      </c>
      <c r="M2" s="4">
        <f>COUNTIF(Table7_1[Status], "Converted")</f>
        <v>119</v>
      </c>
      <c r="N2" s="4">
        <f>COUNTIF(H2:H501, "Lost")</f>
        <v>86</v>
      </c>
      <c r="O2" s="5">
        <f>M2/L2</f>
        <v>0.23799999999999999</v>
      </c>
      <c r="P2" s="4">
        <f>SUM(I2:I501)</f>
        <v>21185879</v>
      </c>
      <c r="Q2" s="4">
        <f>AVERAGE(I2:I501)</f>
        <v>42371.758000000002</v>
      </c>
    </row>
    <row r="3" spans="1:17" x14ac:dyDescent="0.3">
      <c r="A3" t="s">
        <v>17</v>
      </c>
      <c r="B3">
        <v>3</v>
      </c>
      <c r="C3">
        <v>1</v>
      </c>
      <c r="D3">
        <v>2026</v>
      </c>
      <c r="E3" t="s">
        <v>19</v>
      </c>
      <c r="F3" t="s">
        <v>20</v>
      </c>
      <c r="G3" t="s">
        <v>21</v>
      </c>
      <c r="H3" t="s">
        <v>14</v>
      </c>
      <c r="I3">
        <v>66634</v>
      </c>
      <c r="J3" t="s">
        <v>22</v>
      </c>
      <c r="K3" t="s">
        <v>23</v>
      </c>
    </row>
    <row r="4" spans="1:17" x14ac:dyDescent="0.3">
      <c r="A4" t="s">
        <v>24</v>
      </c>
      <c r="B4">
        <v>26</v>
      </c>
      <c r="C4">
        <v>1</v>
      </c>
      <c r="D4">
        <v>2026</v>
      </c>
      <c r="E4" t="s">
        <v>19</v>
      </c>
      <c r="F4" t="s">
        <v>26</v>
      </c>
      <c r="G4" t="s">
        <v>27</v>
      </c>
      <c r="H4" t="s">
        <v>28</v>
      </c>
      <c r="I4">
        <v>30845</v>
      </c>
      <c r="J4" t="s">
        <v>29</v>
      </c>
      <c r="K4" t="s">
        <v>30</v>
      </c>
    </row>
    <row r="5" spans="1:17" x14ac:dyDescent="0.3">
      <c r="A5" t="s">
        <v>31</v>
      </c>
      <c r="B5">
        <v>5</v>
      </c>
      <c r="C5">
        <v>3</v>
      </c>
      <c r="D5">
        <v>2026</v>
      </c>
      <c r="E5" t="s">
        <v>33</v>
      </c>
      <c r="F5" t="s">
        <v>12</v>
      </c>
      <c r="G5" t="s">
        <v>21</v>
      </c>
      <c r="H5" t="s">
        <v>28</v>
      </c>
      <c r="I5">
        <v>26283</v>
      </c>
      <c r="J5" t="s">
        <v>34</v>
      </c>
      <c r="K5" t="s">
        <v>16</v>
      </c>
    </row>
    <row r="6" spans="1:17" x14ac:dyDescent="0.3">
      <c r="A6" t="s">
        <v>35</v>
      </c>
      <c r="B6">
        <v>28</v>
      </c>
      <c r="C6">
        <v>3</v>
      </c>
      <c r="D6">
        <v>2026</v>
      </c>
      <c r="E6" t="s">
        <v>37</v>
      </c>
      <c r="F6" t="s">
        <v>38</v>
      </c>
      <c r="G6" t="s">
        <v>13</v>
      </c>
      <c r="H6" t="s">
        <v>39</v>
      </c>
      <c r="I6">
        <v>15994</v>
      </c>
      <c r="J6" t="s">
        <v>40</v>
      </c>
      <c r="K6" t="s">
        <v>41</v>
      </c>
    </row>
    <row r="7" spans="1:17" x14ac:dyDescent="0.3">
      <c r="A7" t="s">
        <v>42</v>
      </c>
      <c r="B7">
        <v>14</v>
      </c>
      <c r="C7">
        <v>2</v>
      </c>
      <c r="D7">
        <v>2026</v>
      </c>
      <c r="E7" t="s">
        <v>37</v>
      </c>
      <c r="F7" t="s">
        <v>12</v>
      </c>
      <c r="G7" t="s">
        <v>44</v>
      </c>
      <c r="H7" t="s">
        <v>629</v>
      </c>
      <c r="I7">
        <v>50751</v>
      </c>
      <c r="J7" t="s">
        <v>45</v>
      </c>
      <c r="K7" t="s">
        <v>23</v>
      </c>
    </row>
    <row r="8" spans="1:17" x14ac:dyDescent="0.3">
      <c r="A8" t="s">
        <v>46</v>
      </c>
      <c r="B8">
        <v>6</v>
      </c>
      <c r="C8">
        <v>2</v>
      </c>
      <c r="D8">
        <v>2026</v>
      </c>
      <c r="E8" t="s">
        <v>11</v>
      </c>
      <c r="F8" t="s">
        <v>20</v>
      </c>
      <c r="G8" t="s">
        <v>21</v>
      </c>
      <c r="H8" t="s">
        <v>629</v>
      </c>
      <c r="I8">
        <v>40252</v>
      </c>
      <c r="J8" t="s">
        <v>48</v>
      </c>
      <c r="K8" t="s">
        <v>30</v>
      </c>
    </row>
    <row r="9" spans="1:17" x14ac:dyDescent="0.3">
      <c r="A9" t="s">
        <v>49</v>
      </c>
      <c r="B9">
        <v>19</v>
      </c>
      <c r="C9">
        <v>2</v>
      </c>
      <c r="D9">
        <v>2026</v>
      </c>
      <c r="E9" t="s">
        <v>19</v>
      </c>
      <c r="F9" t="s">
        <v>12</v>
      </c>
      <c r="G9" t="s">
        <v>13</v>
      </c>
      <c r="H9" t="s">
        <v>39</v>
      </c>
      <c r="I9">
        <v>63599</v>
      </c>
      <c r="J9" t="s">
        <v>51</v>
      </c>
      <c r="K9" t="s">
        <v>30</v>
      </c>
    </row>
    <row r="10" spans="1:17" x14ac:dyDescent="0.3">
      <c r="A10" t="s">
        <v>52</v>
      </c>
      <c r="B10">
        <v>8</v>
      </c>
      <c r="C10">
        <v>3</v>
      </c>
      <c r="D10">
        <v>2026</v>
      </c>
      <c r="E10" t="s">
        <v>33</v>
      </c>
      <c r="F10" t="s">
        <v>38</v>
      </c>
      <c r="G10" t="s">
        <v>27</v>
      </c>
      <c r="H10" t="s">
        <v>39</v>
      </c>
      <c r="I10">
        <v>15528</v>
      </c>
      <c r="J10" t="s">
        <v>54</v>
      </c>
      <c r="K10" t="s">
        <v>23</v>
      </c>
    </row>
    <row r="11" spans="1:17" x14ac:dyDescent="0.3">
      <c r="A11" t="s">
        <v>55</v>
      </c>
      <c r="B11">
        <v>13</v>
      </c>
      <c r="C11">
        <v>3</v>
      </c>
      <c r="D11">
        <v>2026</v>
      </c>
      <c r="E11" t="s">
        <v>11</v>
      </c>
      <c r="F11" t="s">
        <v>38</v>
      </c>
      <c r="G11" t="s">
        <v>13</v>
      </c>
      <c r="H11" t="s">
        <v>28</v>
      </c>
      <c r="I11">
        <v>53633</v>
      </c>
      <c r="J11" t="s">
        <v>57</v>
      </c>
      <c r="K11" t="s">
        <v>41</v>
      </c>
    </row>
    <row r="12" spans="1:17" x14ac:dyDescent="0.3">
      <c r="A12" t="s">
        <v>58</v>
      </c>
      <c r="B12">
        <v>28</v>
      </c>
      <c r="C12">
        <v>1</v>
      </c>
      <c r="D12">
        <v>2026</v>
      </c>
      <c r="E12" t="s">
        <v>60</v>
      </c>
      <c r="F12" t="s">
        <v>26</v>
      </c>
      <c r="G12" t="s">
        <v>13</v>
      </c>
      <c r="H12" t="s">
        <v>61</v>
      </c>
      <c r="I12">
        <v>7577</v>
      </c>
      <c r="J12" t="s">
        <v>62</v>
      </c>
      <c r="K12" t="s">
        <v>23</v>
      </c>
    </row>
    <row r="13" spans="1:17" x14ac:dyDescent="0.3">
      <c r="A13" t="s">
        <v>63</v>
      </c>
      <c r="B13">
        <v>7</v>
      </c>
      <c r="C13">
        <v>3</v>
      </c>
      <c r="D13">
        <v>2026</v>
      </c>
      <c r="E13" t="s">
        <v>60</v>
      </c>
      <c r="F13" t="s">
        <v>12</v>
      </c>
      <c r="G13" t="s">
        <v>44</v>
      </c>
      <c r="H13" t="s">
        <v>61</v>
      </c>
      <c r="I13">
        <v>15056</v>
      </c>
      <c r="J13" t="s">
        <v>65</v>
      </c>
      <c r="K13" t="s">
        <v>23</v>
      </c>
    </row>
    <row r="14" spans="1:17" x14ac:dyDescent="0.3">
      <c r="A14" t="s">
        <v>66</v>
      </c>
      <c r="B14">
        <v>30</v>
      </c>
      <c r="C14">
        <v>3</v>
      </c>
      <c r="D14">
        <v>2026</v>
      </c>
      <c r="E14" t="s">
        <v>33</v>
      </c>
      <c r="F14" t="s">
        <v>26</v>
      </c>
      <c r="G14" t="s">
        <v>21</v>
      </c>
      <c r="H14" t="s">
        <v>14</v>
      </c>
      <c r="I14">
        <v>11053</v>
      </c>
      <c r="J14" t="s">
        <v>68</v>
      </c>
      <c r="K14" t="s">
        <v>16</v>
      </c>
    </row>
    <row r="15" spans="1:17" x14ac:dyDescent="0.3">
      <c r="A15" t="s">
        <v>69</v>
      </c>
      <c r="B15">
        <v>16</v>
      </c>
      <c r="C15">
        <v>3</v>
      </c>
      <c r="D15">
        <v>2026</v>
      </c>
      <c r="E15" t="s">
        <v>33</v>
      </c>
      <c r="F15" t="s">
        <v>26</v>
      </c>
      <c r="G15" t="s">
        <v>27</v>
      </c>
      <c r="H15" t="s">
        <v>28</v>
      </c>
      <c r="I15">
        <v>17807</v>
      </c>
      <c r="J15" t="s">
        <v>70</v>
      </c>
      <c r="K15" t="s">
        <v>41</v>
      </c>
    </row>
    <row r="16" spans="1:17" x14ac:dyDescent="0.3">
      <c r="A16" t="s">
        <v>71</v>
      </c>
      <c r="B16">
        <v>1</v>
      </c>
      <c r="C16">
        <v>4</v>
      </c>
      <c r="D16">
        <v>2026</v>
      </c>
      <c r="E16" t="s">
        <v>11</v>
      </c>
      <c r="F16" t="s">
        <v>38</v>
      </c>
      <c r="G16" t="s">
        <v>27</v>
      </c>
      <c r="H16" t="s">
        <v>61</v>
      </c>
      <c r="I16">
        <v>67072</v>
      </c>
      <c r="J16" t="s">
        <v>73</v>
      </c>
      <c r="K16" t="s">
        <v>30</v>
      </c>
    </row>
    <row r="17" spans="1:11" x14ac:dyDescent="0.3">
      <c r="A17" t="s">
        <v>74</v>
      </c>
      <c r="B17">
        <v>24</v>
      </c>
      <c r="C17">
        <v>2</v>
      </c>
      <c r="D17">
        <v>2026</v>
      </c>
      <c r="E17" t="s">
        <v>60</v>
      </c>
      <c r="F17" t="s">
        <v>26</v>
      </c>
      <c r="G17" t="s">
        <v>13</v>
      </c>
      <c r="H17" t="s">
        <v>28</v>
      </c>
      <c r="I17">
        <v>49123</v>
      </c>
      <c r="J17" t="s">
        <v>75</v>
      </c>
      <c r="K17" t="s">
        <v>16</v>
      </c>
    </row>
    <row r="18" spans="1:11" x14ac:dyDescent="0.3">
      <c r="A18" t="s">
        <v>76</v>
      </c>
      <c r="B18">
        <v>12</v>
      </c>
      <c r="C18">
        <v>2</v>
      </c>
      <c r="D18">
        <v>2026</v>
      </c>
      <c r="E18" t="s">
        <v>37</v>
      </c>
      <c r="F18" t="s">
        <v>12</v>
      </c>
      <c r="G18" t="s">
        <v>27</v>
      </c>
      <c r="H18" t="s">
        <v>61</v>
      </c>
      <c r="I18">
        <v>34669</v>
      </c>
      <c r="J18" t="s">
        <v>43</v>
      </c>
      <c r="K18" t="s">
        <v>16</v>
      </c>
    </row>
    <row r="19" spans="1:11" x14ac:dyDescent="0.3">
      <c r="A19" t="s">
        <v>78</v>
      </c>
      <c r="B19">
        <v>23</v>
      </c>
      <c r="C19">
        <v>1</v>
      </c>
      <c r="D19">
        <v>2026</v>
      </c>
      <c r="E19" t="s">
        <v>33</v>
      </c>
      <c r="F19" t="s">
        <v>38</v>
      </c>
      <c r="G19" t="s">
        <v>44</v>
      </c>
      <c r="H19" t="s">
        <v>39</v>
      </c>
      <c r="I19">
        <v>69449</v>
      </c>
      <c r="J19" t="s">
        <v>59</v>
      </c>
      <c r="K19" t="s">
        <v>16</v>
      </c>
    </row>
    <row r="20" spans="1:11" x14ac:dyDescent="0.3">
      <c r="A20" t="s">
        <v>80</v>
      </c>
      <c r="B20">
        <v>25</v>
      </c>
      <c r="C20">
        <v>1</v>
      </c>
      <c r="D20">
        <v>2026</v>
      </c>
      <c r="E20" t="s">
        <v>37</v>
      </c>
      <c r="F20" t="s">
        <v>12</v>
      </c>
      <c r="G20" t="s">
        <v>13</v>
      </c>
      <c r="H20" t="s">
        <v>14</v>
      </c>
      <c r="I20">
        <v>60690</v>
      </c>
      <c r="J20" t="s">
        <v>82</v>
      </c>
      <c r="K20" t="s">
        <v>16</v>
      </c>
    </row>
    <row r="21" spans="1:11" x14ac:dyDescent="0.3">
      <c r="A21" t="s">
        <v>83</v>
      </c>
      <c r="B21">
        <v>6</v>
      </c>
      <c r="C21">
        <v>3</v>
      </c>
      <c r="D21">
        <v>2026</v>
      </c>
      <c r="E21" t="s">
        <v>11</v>
      </c>
      <c r="F21" t="s">
        <v>26</v>
      </c>
      <c r="G21" t="s">
        <v>21</v>
      </c>
      <c r="H21" t="s">
        <v>14</v>
      </c>
      <c r="I21">
        <v>16639</v>
      </c>
      <c r="J21" t="s">
        <v>34</v>
      </c>
      <c r="K21" t="s">
        <v>23</v>
      </c>
    </row>
    <row r="22" spans="1:11" x14ac:dyDescent="0.3">
      <c r="A22" t="s">
        <v>85</v>
      </c>
      <c r="B22">
        <v>16</v>
      </c>
      <c r="C22">
        <v>3</v>
      </c>
      <c r="D22">
        <v>2026</v>
      </c>
      <c r="E22" t="s">
        <v>11</v>
      </c>
      <c r="F22" t="s">
        <v>12</v>
      </c>
      <c r="G22" t="s">
        <v>13</v>
      </c>
      <c r="H22" t="s">
        <v>629</v>
      </c>
      <c r="I22">
        <v>31877</v>
      </c>
      <c r="J22" t="s">
        <v>86</v>
      </c>
      <c r="K22" t="s">
        <v>30</v>
      </c>
    </row>
    <row r="23" spans="1:11" x14ac:dyDescent="0.3">
      <c r="A23" t="s">
        <v>87</v>
      </c>
      <c r="B23">
        <v>7</v>
      </c>
      <c r="C23">
        <v>1</v>
      </c>
      <c r="D23">
        <v>2026</v>
      </c>
      <c r="E23" t="s">
        <v>37</v>
      </c>
      <c r="F23" t="s">
        <v>38</v>
      </c>
      <c r="G23" t="s">
        <v>44</v>
      </c>
      <c r="H23" t="s">
        <v>61</v>
      </c>
      <c r="I23">
        <v>7309</v>
      </c>
      <c r="J23" t="s">
        <v>22</v>
      </c>
      <c r="K23" t="s">
        <v>23</v>
      </c>
    </row>
    <row r="24" spans="1:11" x14ac:dyDescent="0.3">
      <c r="A24" t="s">
        <v>89</v>
      </c>
      <c r="B24">
        <v>7</v>
      </c>
      <c r="C24">
        <v>2</v>
      </c>
      <c r="D24">
        <v>2026</v>
      </c>
      <c r="E24" t="s">
        <v>60</v>
      </c>
      <c r="F24" t="s">
        <v>26</v>
      </c>
      <c r="G24" t="s">
        <v>21</v>
      </c>
      <c r="H24" t="s">
        <v>61</v>
      </c>
      <c r="I24">
        <v>35351</v>
      </c>
      <c r="J24" t="s">
        <v>91</v>
      </c>
      <c r="K24" t="s">
        <v>41</v>
      </c>
    </row>
    <row r="25" spans="1:11" x14ac:dyDescent="0.3">
      <c r="A25" t="s">
        <v>92</v>
      </c>
      <c r="B25">
        <v>21</v>
      </c>
      <c r="C25">
        <v>2</v>
      </c>
      <c r="D25">
        <v>2026</v>
      </c>
      <c r="E25" t="s">
        <v>37</v>
      </c>
      <c r="F25" t="s">
        <v>26</v>
      </c>
      <c r="G25" t="s">
        <v>44</v>
      </c>
      <c r="H25" t="s">
        <v>629</v>
      </c>
      <c r="I25">
        <v>14515</v>
      </c>
      <c r="J25" t="s">
        <v>94</v>
      </c>
      <c r="K25" t="s">
        <v>23</v>
      </c>
    </row>
    <row r="26" spans="1:11" x14ac:dyDescent="0.3">
      <c r="A26" t="s">
        <v>95</v>
      </c>
      <c r="B26">
        <v>27</v>
      </c>
      <c r="C26">
        <v>2</v>
      </c>
      <c r="D26">
        <v>2026</v>
      </c>
      <c r="E26" t="s">
        <v>37</v>
      </c>
      <c r="F26" t="s">
        <v>38</v>
      </c>
      <c r="G26" t="s">
        <v>13</v>
      </c>
      <c r="H26" t="s">
        <v>28</v>
      </c>
      <c r="I26">
        <v>31472</v>
      </c>
      <c r="J26" t="s">
        <v>32</v>
      </c>
      <c r="K26" t="s">
        <v>41</v>
      </c>
    </row>
    <row r="27" spans="1:11" x14ac:dyDescent="0.3">
      <c r="A27" t="s">
        <v>97</v>
      </c>
      <c r="B27">
        <v>21</v>
      </c>
      <c r="C27">
        <v>3</v>
      </c>
      <c r="D27">
        <v>2026</v>
      </c>
      <c r="E27" t="s">
        <v>60</v>
      </c>
      <c r="F27" t="s">
        <v>38</v>
      </c>
      <c r="G27" t="s">
        <v>21</v>
      </c>
      <c r="H27" t="s">
        <v>14</v>
      </c>
      <c r="I27">
        <v>73539</v>
      </c>
      <c r="J27" t="s">
        <v>99</v>
      </c>
      <c r="K27" t="s">
        <v>30</v>
      </c>
    </row>
    <row r="28" spans="1:11" x14ac:dyDescent="0.3">
      <c r="A28" t="s">
        <v>100</v>
      </c>
      <c r="B28">
        <v>23</v>
      </c>
      <c r="C28">
        <v>3</v>
      </c>
      <c r="D28">
        <v>2026</v>
      </c>
      <c r="E28" t="s">
        <v>19</v>
      </c>
      <c r="F28" t="s">
        <v>20</v>
      </c>
      <c r="G28" t="s">
        <v>44</v>
      </c>
      <c r="H28" t="s">
        <v>39</v>
      </c>
      <c r="I28">
        <v>54483</v>
      </c>
      <c r="J28" t="s">
        <v>101</v>
      </c>
      <c r="K28" t="s">
        <v>41</v>
      </c>
    </row>
    <row r="29" spans="1:11" x14ac:dyDescent="0.3">
      <c r="A29" t="s">
        <v>102</v>
      </c>
      <c r="B29">
        <v>14</v>
      </c>
      <c r="C29">
        <v>3</v>
      </c>
      <c r="D29">
        <v>2026</v>
      </c>
      <c r="E29" t="s">
        <v>60</v>
      </c>
      <c r="F29" t="s">
        <v>26</v>
      </c>
      <c r="G29" t="s">
        <v>27</v>
      </c>
      <c r="H29" t="s">
        <v>629</v>
      </c>
      <c r="I29">
        <v>49452</v>
      </c>
      <c r="J29" t="s">
        <v>98</v>
      </c>
      <c r="K29" t="s">
        <v>41</v>
      </c>
    </row>
    <row r="30" spans="1:11" x14ac:dyDescent="0.3">
      <c r="A30" t="s">
        <v>103</v>
      </c>
      <c r="B30">
        <v>25</v>
      </c>
      <c r="C30">
        <v>1</v>
      </c>
      <c r="D30">
        <v>2026</v>
      </c>
      <c r="E30" t="s">
        <v>33</v>
      </c>
      <c r="F30" t="s">
        <v>38</v>
      </c>
      <c r="G30" t="s">
        <v>13</v>
      </c>
      <c r="H30" t="s">
        <v>629</v>
      </c>
      <c r="I30">
        <v>52270</v>
      </c>
      <c r="J30" t="s">
        <v>15</v>
      </c>
      <c r="K30" t="s">
        <v>23</v>
      </c>
    </row>
    <row r="31" spans="1:11" x14ac:dyDescent="0.3">
      <c r="A31" t="s">
        <v>104</v>
      </c>
      <c r="B31">
        <v>16</v>
      </c>
      <c r="C31">
        <v>3</v>
      </c>
      <c r="D31">
        <v>2026</v>
      </c>
      <c r="E31" t="s">
        <v>37</v>
      </c>
      <c r="F31" t="s">
        <v>20</v>
      </c>
      <c r="G31" t="s">
        <v>44</v>
      </c>
      <c r="H31" t="s">
        <v>14</v>
      </c>
      <c r="I31">
        <v>74976</v>
      </c>
      <c r="J31" t="s">
        <v>98</v>
      </c>
      <c r="K31" t="s">
        <v>23</v>
      </c>
    </row>
    <row r="32" spans="1:11" x14ac:dyDescent="0.3">
      <c r="A32" t="s">
        <v>105</v>
      </c>
      <c r="B32">
        <v>3</v>
      </c>
      <c r="C32">
        <v>2</v>
      </c>
      <c r="D32">
        <v>2026</v>
      </c>
      <c r="E32" t="s">
        <v>11</v>
      </c>
      <c r="F32" t="s">
        <v>12</v>
      </c>
      <c r="G32" t="s">
        <v>27</v>
      </c>
      <c r="H32" t="s">
        <v>629</v>
      </c>
      <c r="I32">
        <v>21986</v>
      </c>
      <c r="J32" t="s">
        <v>47</v>
      </c>
      <c r="K32" t="s">
        <v>41</v>
      </c>
    </row>
    <row r="33" spans="1:11" x14ac:dyDescent="0.3">
      <c r="A33" t="s">
        <v>107</v>
      </c>
      <c r="B33">
        <v>13</v>
      </c>
      <c r="C33">
        <v>2</v>
      </c>
      <c r="D33">
        <v>2026</v>
      </c>
      <c r="E33" t="s">
        <v>19</v>
      </c>
      <c r="F33" t="s">
        <v>12</v>
      </c>
      <c r="G33" t="s">
        <v>44</v>
      </c>
      <c r="H33" t="s">
        <v>629</v>
      </c>
      <c r="I33">
        <v>70638</v>
      </c>
      <c r="J33" t="s">
        <v>50</v>
      </c>
      <c r="K33" t="s">
        <v>23</v>
      </c>
    </row>
    <row r="34" spans="1:11" x14ac:dyDescent="0.3">
      <c r="A34" t="s">
        <v>108</v>
      </c>
      <c r="B34">
        <v>24</v>
      </c>
      <c r="C34">
        <v>2</v>
      </c>
      <c r="D34">
        <v>2026</v>
      </c>
      <c r="E34" t="s">
        <v>37</v>
      </c>
      <c r="F34" t="s">
        <v>20</v>
      </c>
      <c r="G34" t="s">
        <v>21</v>
      </c>
      <c r="H34" t="s">
        <v>61</v>
      </c>
      <c r="I34">
        <v>52190</v>
      </c>
      <c r="J34" t="s">
        <v>94</v>
      </c>
      <c r="K34" t="s">
        <v>16</v>
      </c>
    </row>
    <row r="35" spans="1:11" x14ac:dyDescent="0.3">
      <c r="A35" t="s">
        <v>109</v>
      </c>
      <c r="B35">
        <v>25</v>
      </c>
      <c r="C35">
        <v>3</v>
      </c>
      <c r="D35">
        <v>2026</v>
      </c>
      <c r="E35" t="s">
        <v>11</v>
      </c>
      <c r="F35" t="s">
        <v>38</v>
      </c>
      <c r="G35" t="s">
        <v>27</v>
      </c>
      <c r="H35" t="s">
        <v>14</v>
      </c>
      <c r="I35">
        <v>38729</v>
      </c>
      <c r="J35" t="s">
        <v>101</v>
      </c>
      <c r="K35" t="s">
        <v>16</v>
      </c>
    </row>
    <row r="36" spans="1:11" x14ac:dyDescent="0.3">
      <c r="A36" t="s">
        <v>111</v>
      </c>
      <c r="B36">
        <v>8</v>
      </c>
      <c r="C36">
        <v>3</v>
      </c>
      <c r="D36">
        <v>2026</v>
      </c>
      <c r="E36" t="s">
        <v>11</v>
      </c>
      <c r="F36" t="s">
        <v>38</v>
      </c>
      <c r="G36" t="s">
        <v>44</v>
      </c>
      <c r="H36" t="s">
        <v>14</v>
      </c>
      <c r="I36">
        <v>16712</v>
      </c>
      <c r="J36" t="s">
        <v>112</v>
      </c>
      <c r="K36" t="s">
        <v>41</v>
      </c>
    </row>
    <row r="37" spans="1:11" x14ac:dyDescent="0.3">
      <c r="A37" t="s">
        <v>113</v>
      </c>
      <c r="B37">
        <v>30</v>
      </c>
      <c r="C37">
        <v>1</v>
      </c>
      <c r="D37">
        <v>2026</v>
      </c>
      <c r="E37" t="s">
        <v>19</v>
      </c>
      <c r="F37" t="s">
        <v>12</v>
      </c>
      <c r="G37" t="s">
        <v>44</v>
      </c>
      <c r="H37" t="s">
        <v>629</v>
      </c>
      <c r="I37">
        <v>72769</v>
      </c>
      <c r="J37" t="s">
        <v>47</v>
      </c>
      <c r="K37" t="s">
        <v>16</v>
      </c>
    </row>
    <row r="38" spans="1:11" x14ac:dyDescent="0.3">
      <c r="A38" t="s">
        <v>114</v>
      </c>
      <c r="B38">
        <v>5</v>
      </c>
      <c r="C38">
        <v>2</v>
      </c>
      <c r="D38">
        <v>2026</v>
      </c>
      <c r="E38" t="s">
        <v>60</v>
      </c>
      <c r="F38" t="s">
        <v>26</v>
      </c>
      <c r="G38" t="s">
        <v>27</v>
      </c>
      <c r="H38" t="s">
        <v>14</v>
      </c>
      <c r="I38">
        <v>70125</v>
      </c>
      <c r="J38" t="s">
        <v>77</v>
      </c>
      <c r="K38" t="s">
        <v>23</v>
      </c>
    </row>
    <row r="39" spans="1:11" x14ac:dyDescent="0.3">
      <c r="A39" t="s">
        <v>115</v>
      </c>
      <c r="B39">
        <v>20</v>
      </c>
      <c r="C39">
        <v>3</v>
      </c>
      <c r="D39">
        <v>2026</v>
      </c>
      <c r="E39" t="s">
        <v>37</v>
      </c>
      <c r="F39" t="s">
        <v>20</v>
      </c>
      <c r="G39" t="s">
        <v>44</v>
      </c>
      <c r="H39" t="s">
        <v>14</v>
      </c>
      <c r="I39">
        <v>18790</v>
      </c>
      <c r="J39" t="s">
        <v>99</v>
      </c>
      <c r="K39" t="s">
        <v>41</v>
      </c>
    </row>
    <row r="40" spans="1:11" x14ac:dyDescent="0.3">
      <c r="A40" t="s">
        <v>117</v>
      </c>
      <c r="B40">
        <v>23</v>
      </c>
      <c r="C40">
        <v>1</v>
      </c>
      <c r="D40">
        <v>2026</v>
      </c>
      <c r="E40" t="s">
        <v>19</v>
      </c>
      <c r="F40" t="s">
        <v>38</v>
      </c>
      <c r="G40" t="s">
        <v>27</v>
      </c>
      <c r="H40" t="s">
        <v>14</v>
      </c>
      <c r="I40">
        <v>51716</v>
      </c>
      <c r="J40" t="s">
        <v>25</v>
      </c>
      <c r="K40" t="s">
        <v>30</v>
      </c>
    </row>
    <row r="41" spans="1:11" x14ac:dyDescent="0.3">
      <c r="A41" t="s">
        <v>118</v>
      </c>
      <c r="B41">
        <v>27</v>
      </c>
      <c r="C41">
        <v>2</v>
      </c>
      <c r="D41">
        <v>2026</v>
      </c>
      <c r="E41" t="s">
        <v>37</v>
      </c>
      <c r="F41" t="s">
        <v>38</v>
      </c>
      <c r="G41" t="s">
        <v>44</v>
      </c>
      <c r="H41" t="s">
        <v>39</v>
      </c>
      <c r="I41">
        <v>74304</v>
      </c>
      <c r="J41" t="s">
        <v>119</v>
      </c>
      <c r="K41" t="s">
        <v>30</v>
      </c>
    </row>
    <row r="42" spans="1:11" x14ac:dyDescent="0.3">
      <c r="A42" t="s">
        <v>120</v>
      </c>
      <c r="B42">
        <v>19</v>
      </c>
      <c r="C42">
        <v>3</v>
      </c>
      <c r="D42">
        <v>2026</v>
      </c>
      <c r="E42" t="s">
        <v>19</v>
      </c>
      <c r="F42" t="s">
        <v>38</v>
      </c>
      <c r="G42" t="s">
        <v>44</v>
      </c>
      <c r="H42" t="s">
        <v>39</v>
      </c>
      <c r="I42">
        <v>24139</v>
      </c>
      <c r="J42" t="s">
        <v>36</v>
      </c>
      <c r="K42" t="s">
        <v>41</v>
      </c>
    </row>
    <row r="43" spans="1:11" x14ac:dyDescent="0.3">
      <c r="A43" t="s">
        <v>121</v>
      </c>
      <c r="B43">
        <v>17</v>
      </c>
      <c r="C43">
        <v>2</v>
      </c>
      <c r="D43">
        <v>2026</v>
      </c>
      <c r="E43" t="s">
        <v>19</v>
      </c>
      <c r="F43" t="s">
        <v>12</v>
      </c>
      <c r="G43" t="s">
        <v>21</v>
      </c>
      <c r="H43" t="s">
        <v>14</v>
      </c>
      <c r="I43">
        <v>38861</v>
      </c>
      <c r="J43" t="s">
        <v>51</v>
      </c>
      <c r="K43" t="s">
        <v>16</v>
      </c>
    </row>
    <row r="44" spans="1:11" x14ac:dyDescent="0.3">
      <c r="A44" t="s">
        <v>123</v>
      </c>
      <c r="B44">
        <v>7</v>
      </c>
      <c r="C44">
        <v>3</v>
      </c>
      <c r="D44">
        <v>2026</v>
      </c>
      <c r="E44" t="s">
        <v>60</v>
      </c>
      <c r="F44" t="s">
        <v>12</v>
      </c>
      <c r="G44" t="s">
        <v>21</v>
      </c>
      <c r="H44" t="s">
        <v>61</v>
      </c>
      <c r="I44">
        <v>30665</v>
      </c>
      <c r="J44" t="s">
        <v>56</v>
      </c>
      <c r="K44" t="s">
        <v>30</v>
      </c>
    </row>
    <row r="45" spans="1:11" x14ac:dyDescent="0.3">
      <c r="A45" t="s">
        <v>124</v>
      </c>
      <c r="B45">
        <v>5</v>
      </c>
      <c r="C45">
        <v>3</v>
      </c>
      <c r="D45">
        <v>2026</v>
      </c>
      <c r="E45" t="s">
        <v>33</v>
      </c>
      <c r="F45" t="s">
        <v>38</v>
      </c>
      <c r="G45" t="s">
        <v>13</v>
      </c>
      <c r="H45" t="s">
        <v>14</v>
      </c>
      <c r="I45">
        <v>38609</v>
      </c>
      <c r="J45" t="s">
        <v>34</v>
      </c>
      <c r="K45" t="s">
        <v>16</v>
      </c>
    </row>
    <row r="46" spans="1:11" x14ac:dyDescent="0.3">
      <c r="A46" t="s">
        <v>125</v>
      </c>
      <c r="B46">
        <v>20</v>
      </c>
      <c r="C46">
        <v>2</v>
      </c>
      <c r="D46">
        <v>2026</v>
      </c>
      <c r="E46" t="s">
        <v>33</v>
      </c>
      <c r="F46" t="s">
        <v>12</v>
      </c>
      <c r="G46" t="s">
        <v>21</v>
      </c>
      <c r="H46" t="s">
        <v>14</v>
      </c>
      <c r="I46">
        <v>54367</v>
      </c>
      <c r="J46" t="s">
        <v>127</v>
      </c>
      <c r="K46" t="s">
        <v>23</v>
      </c>
    </row>
    <row r="47" spans="1:11" x14ac:dyDescent="0.3">
      <c r="A47" t="s">
        <v>128</v>
      </c>
      <c r="B47">
        <v>2</v>
      </c>
      <c r="C47">
        <v>2</v>
      </c>
      <c r="D47">
        <v>2026</v>
      </c>
      <c r="E47" t="s">
        <v>19</v>
      </c>
      <c r="F47" t="s">
        <v>12</v>
      </c>
      <c r="G47" t="s">
        <v>21</v>
      </c>
      <c r="H47" t="s">
        <v>28</v>
      </c>
      <c r="I47">
        <v>17113</v>
      </c>
      <c r="J47" t="s">
        <v>130</v>
      </c>
      <c r="K47" t="s">
        <v>41</v>
      </c>
    </row>
    <row r="48" spans="1:11" x14ac:dyDescent="0.3">
      <c r="A48" t="s">
        <v>131</v>
      </c>
      <c r="B48">
        <v>18</v>
      </c>
      <c r="C48">
        <v>3</v>
      </c>
      <c r="D48">
        <v>2026</v>
      </c>
      <c r="E48" t="s">
        <v>33</v>
      </c>
      <c r="F48" t="s">
        <v>38</v>
      </c>
      <c r="G48" t="s">
        <v>44</v>
      </c>
      <c r="H48" t="s">
        <v>28</v>
      </c>
      <c r="I48">
        <v>56055</v>
      </c>
      <c r="J48" t="s">
        <v>99</v>
      </c>
      <c r="K48" t="s">
        <v>16</v>
      </c>
    </row>
    <row r="49" spans="1:11" x14ac:dyDescent="0.3">
      <c r="A49" t="s">
        <v>133</v>
      </c>
      <c r="B49">
        <v>9</v>
      </c>
      <c r="C49">
        <v>2</v>
      </c>
      <c r="D49">
        <v>2026</v>
      </c>
      <c r="E49" t="s">
        <v>11</v>
      </c>
      <c r="F49" t="s">
        <v>20</v>
      </c>
      <c r="G49" t="s">
        <v>13</v>
      </c>
      <c r="H49" t="s">
        <v>629</v>
      </c>
      <c r="I49">
        <v>39907</v>
      </c>
      <c r="J49" t="s">
        <v>134</v>
      </c>
      <c r="K49" t="s">
        <v>23</v>
      </c>
    </row>
    <row r="50" spans="1:11" x14ac:dyDescent="0.3">
      <c r="A50" t="s">
        <v>135</v>
      </c>
      <c r="B50">
        <v>14</v>
      </c>
      <c r="C50">
        <v>1</v>
      </c>
      <c r="D50">
        <v>2026</v>
      </c>
      <c r="E50" t="s">
        <v>33</v>
      </c>
      <c r="F50" t="s">
        <v>26</v>
      </c>
      <c r="G50" t="s">
        <v>27</v>
      </c>
      <c r="H50" t="s">
        <v>39</v>
      </c>
      <c r="I50">
        <v>55365</v>
      </c>
      <c r="J50" t="s">
        <v>137</v>
      </c>
      <c r="K50" t="s">
        <v>23</v>
      </c>
    </row>
    <row r="51" spans="1:11" x14ac:dyDescent="0.3">
      <c r="A51" t="s">
        <v>138</v>
      </c>
      <c r="B51">
        <v>23</v>
      </c>
      <c r="C51">
        <v>3</v>
      </c>
      <c r="D51">
        <v>2026</v>
      </c>
      <c r="E51" t="s">
        <v>37</v>
      </c>
      <c r="F51" t="s">
        <v>26</v>
      </c>
      <c r="G51" t="s">
        <v>44</v>
      </c>
      <c r="H51" t="s">
        <v>28</v>
      </c>
      <c r="I51">
        <v>77100</v>
      </c>
      <c r="J51" t="s">
        <v>72</v>
      </c>
      <c r="K51" t="s">
        <v>23</v>
      </c>
    </row>
    <row r="52" spans="1:11" x14ac:dyDescent="0.3">
      <c r="A52" t="s">
        <v>139</v>
      </c>
      <c r="B52">
        <v>16</v>
      </c>
      <c r="C52">
        <v>1</v>
      </c>
      <c r="D52">
        <v>2026</v>
      </c>
      <c r="E52" t="s">
        <v>19</v>
      </c>
      <c r="F52" t="s">
        <v>12</v>
      </c>
      <c r="G52" t="s">
        <v>27</v>
      </c>
      <c r="H52" t="s">
        <v>629</v>
      </c>
      <c r="I52">
        <v>42461</v>
      </c>
      <c r="J52" t="s">
        <v>141</v>
      </c>
      <c r="K52" t="s">
        <v>30</v>
      </c>
    </row>
    <row r="53" spans="1:11" x14ac:dyDescent="0.3">
      <c r="A53" t="s">
        <v>142</v>
      </c>
      <c r="B53">
        <v>27</v>
      </c>
      <c r="C53">
        <v>2</v>
      </c>
      <c r="D53">
        <v>2026</v>
      </c>
      <c r="E53" t="s">
        <v>19</v>
      </c>
      <c r="F53" t="s">
        <v>12</v>
      </c>
      <c r="G53" t="s">
        <v>21</v>
      </c>
      <c r="H53" t="s">
        <v>28</v>
      </c>
      <c r="I53">
        <v>9479</v>
      </c>
      <c r="J53" t="s">
        <v>84</v>
      </c>
      <c r="K53" t="s">
        <v>30</v>
      </c>
    </row>
    <row r="54" spans="1:11" x14ac:dyDescent="0.3">
      <c r="A54" t="s">
        <v>143</v>
      </c>
      <c r="B54">
        <v>28</v>
      </c>
      <c r="C54">
        <v>3</v>
      </c>
      <c r="D54">
        <v>2026</v>
      </c>
      <c r="E54" t="s">
        <v>11</v>
      </c>
      <c r="F54" t="s">
        <v>26</v>
      </c>
      <c r="G54" t="s">
        <v>21</v>
      </c>
      <c r="H54" t="s">
        <v>28</v>
      </c>
      <c r="I54">
        <v>47889</v>
      </c>
      <c r="J54" t="s">
        <v>72</v>
      </c>
      <c r="K54" t="s">
        <v>23</v>
      </c>
    </row>
    <row r="55" spans="1:11" x14ac:dyDescent="0.3">
      <c r="A55" t="s">
        <v>144</v>
      </c>
      <c r="B55">
        <v>13</v>
      </c>
      <c r="C55">
        <v>2</v>
      </c>
      <c r="D55">
        <v>2026</v>
      </c>
      <c r="E55" t="s">
        <v>33</v>
      </c>
      <c r="F55" t="s">
        <v>12</v>
      </c>
      <c r="G55" t="s">
        <v>44</v>
      </c>
      <c r="H55" t="s">
        <v>61</v>
      </c>
      <c r="I55">
        <v>46975</v>
      </c>
      <c r="J55" t="s">
        <v>50</v>
      </c>
      <c r="K55" t="s">
        <v>23</v>
      </c>
    </row>
    <row r="56" spans="1:11" x14ac:dyDescent="0.3">
      <c r="A56" t="s">
        <v>145</v>
      </c>
      <c r="B56">
        <v>11</v>
      </c>
      <c r="C56">
        <v>3</v>
      </c>
      <c r="D56">
        <v>2026</v>
      </c>
      <c r="E56" t="s">
        <v>60</v>
      </c>
      <c r="F56" t="s">
        <v>12</v>
      </c>
      <c r="G56" t="s">
        <v>21</v>
      </c>
      <c r="H56" t="s">
        <v>39</v>
      </c>
      <c r="I56">
        <v>23140</v>
      </c>
      <c r="J56" t="s">
        <v>34</v>
      </c>
      <c r="K56" t="s">
        <v>41</v>
      </c>
    </row>
    <row r="57" spans="1:11" x14ac:dyDescent="0.3">
      <c r="A57" t="s">
        <v>146</v>
      </c>
      <c r="B57">
        <v>7</v>
      </c>
      <c r="C57">
        <v>2</v>
      </c>
      <c r="D57">
        <v>2026</v>
      </c>
      <c r="E57" t="s">
        <v>19</v>
      </c>
      <c r="F57" t="s">
        <v>12</v>
      </c>
      <c r="G57" t="s">
        <v>21</v>
      </c>
      <c r="H57" t="s">
        <v>28</v>
      </c>
      <c r="I57">
        <v>40373</v>
      </c>
      <c r="J57" t="s">
        <v>130</v>
      </c>
      <c r="K57" t="s">
        <v>16</v>
      </c>
    </row>
    <row r="58" spans="1:11" x14ac:dyDescent="0.3">
      <c r="A58" t="s">
        <v>147</v>
      </c>
      <c r="B58">
        <v>14</v>
      </c>
      <c r="C58">
        <v>3</v>
      </c>
      <c r="D58">
        <v>2026</v>
      </c>
      <c r="E58" t="s">
        <v>33</v>
      </c>
      <c r="F58" t="s">
        <v>20</v>
      </c>
      <c r="G58" t="s">
        <v>13</v>
      </c>
      <c r="H58" t="s">
        <v>629</v>
      </c>
      <c r="I58">
        <v>68961</v>
      </c>
      <c r="J58" t="s">
        <v>86</v>
      </c>
      <c r="K58" t="s">
        <v>30</v>
      </c>
    </row>
    <row r="59" spans="1:11" x14ac:dyDescent="0.3">
      <c r="A59" t="s">
        <v>148</v>
      </c>
      <c r="B59">
        <v>6</v>
      </c>
      <c r="C59">
        <v>2</v>
      </c>
      <c r="D59">
        <v>2026</v>
      </c>
      <c r="E59" t="s">
        <v>33</v>
      </c>
      <c r="F59" t="s">
        <v>20</v>
      </c>
      <c r="G59" t="s">
        <v>44</v>
      </c>
      <c r="H59" t="s">
        <v>61</v>
      </c>
      <c r="I59">
        <v>11740</v>
      </c>
      <c r="J59" t="s">
        <v>77</v>
      </c>
      <c r="K59" t="s">
        <v>30</v>
      </c>
    </row>
    <row r="60" spans="1:11" x14ac:dyDescent="0.3">
      <c r="A60" t="s">
        <v>149</v>
      </c>
      <c r="B60">
        <v>27</v>
      </c>
      <c r="C60">
        <v>2</v>
      </c>
      <c r="D60">
        <v>2026</v>
      </c>
      <c r="E60" t="s">
        <v>11</v>
      </c>
      <c r="F60" t="s">
        <v>26</v>
      </c>
      <c r="G60" t="s">
        <v>44</v>
      </c>
      <c r="H60" t="s">
        <v>61</v>
      </c>
      <c r="I60">
        <v>21518</v>
      </c>
      <c r="J60" t="s">
        <v>119</v>
      </c>
      <c r="K60" t="s">
        <v>16</v>
      </c>
    </row>
    <row r="61" spans="1:11" x14ac:dyDescent="0.3">
      <c r="A61" t="s">
        <v>150</v>
      </c>
      <c r="B61">
        <v>20</v>
      </c>
      <c r="C61">
        <v>2</v>
      </c>
      <c r="D61">
        <v>2026</v>
      </c>
      <c r="E61" t="s">
        <v>37</v>
      </c>
      <c r="F61" t="s">
        <v>38</v>
      </c>
      <c r="G61" t="s">
        <v>27</v>
      </c>
      <c r="H61" t="s">
        <v>61</v>
      </c>
      <c r="I61">
        <v>18129</v>
      </c>
      <c r="J61" t="s">
        <v>151</v>
      </c>
      <c r="K61" t="s">
        <v>23</v>
      </c>
    </row>
    <row r="62" spans="1:11" x14ac:dyDescent="0.3">
      <c r="A62" t="s">
        <v>152</v>
      </c>
      <c r="B62">
        <v>17</v>
      </c>
      <c r="C62">
        <v>1</v>
      </c>
      <c r="D62">
        <v>2026</v>
      </c>
      <c r="E62" t="s">
        <v>33</v>
      </c>
      <c r="F62" t="s">
        <v>20</v>
      </c>
      <c r="G62" t="s">
        <v>21</v>
      </c>
      <c r="H62" t="s">
        <v>629</v>
      </c>
      <c r="I62">
        <v>65567</v>
      </c>
      <c r="J62" t="s">
        <v>15</v>
      </c>
      <c r="K62" t="s">
        <v>16</v>
      </c>
    </row>
    <row r="63" spans="1:11" x14ac:dyDescent="0.3">
      <c r="A63" t="s">
        <v>154</v>
      </c>
      <c r="B63">
        <v>11</v>
      </c>
      <c r="C63">
        <v>1</v>
      </c>
      <c r="D63">
        <v>2026</v>
      </c>
      <c r="E63" t="s">
        <v>60</v>
      </c>
      <c r="F63" t="s">
        <v>12</v>
      </c>
      <c r="G63" t="s">
        <v>27</v>
      </c>
      <c r="H63" t="s">
        <v>629</v>
      </c>
      <c r="I63">
        <v>72178</v>
      </c>
      <c r="J63" t="s">
        <v>156</v>
      </c>
      <c r="K63" t="s">
        <v>30</v>
      </c>
    </row>
    <row r="64" spans="1:11" x14ac:dyDescent="0.3">
      <c r="A64" t="s">
        <v>157</v>
      </c>
      <c r="B64">
        <v>24</v>
      </c>
      <c r="C64">
        <v>2</v>
      </c>
      <c r="D64">
        <v>2026</v>
      </c>
      <c r="E64" t="s">
        <v>33</v>
      </c>
      <c r="F64" t="s">
        <v>12</v>
      </c>
      <c r="G64" t="s">
        <v>13</v>
      </c>
      <c r="H64" t="s">
        <v>61</v>
      </c>
      <c r="I64">
        <v>32675</v>
      </c>
      <c r="J64" t="s">
        <v>119</v>
      </c>
      <c r="K64" t="s">
        <v>41</v>
      </c>
    </row>
    <row r="65" spans="1:11" x14ac:dyDescent="0.3">
      <c r="A65" t="s">
        <v>158</v>
      </c>
      <c r="B65">
        <v>3</v>
      </c>
      <c r="C65">
        <v>3</v>
      </c>
      <c r="D65">
        <v>2026</v>
      </c>
      <c r="E65" t="s">
        <v>37</v>
      </c>
      <c r="F65" t="s">
        <v>12</v>
      </c>
      <c r="G65" t="s">
        <v>21</v>
      </c>
      <c r="H65" t="s">
        <v>14</v>
      </c>
      <c r="I65">
        <v>5077</v>
      </c>
      <c r="J65" t="s">
        <v>32</v>
      </c>
      <c r="K65" t="s">
        <v>41</v>
      </c>
    </row>
    <row r="66" spans="1:11" x14ac:dyDescent="0.3">
      <c r="A66" t="s">
        <v>159</v>
      </c>
      <c r="B66">
        <v>25</v>
      </c>
      <c r="C66">
        <v>2</v>
      </c>
      <c r="D66">
        <v>2026</v>
      </c>
      <c r="E66" t="s">
        <v>60</v>
      </c>
      <c r="F66" t="s">
        <v>20</v>
      </c>
      <c r="G66" t="s">
        <v>13</v>
      </c>
      <c r="H66" t="s">
        <v>629</v>
      </c>
      <c r="I66">
        <v>76678</v>
      </c>
      <c r="J66" t="s">
        <v>32</v>
      </c>
      <c r="K66" t="s">
        <v>41</v>
      </c>
    </row>
    <row r="67" spans="1:11" x14ac:dyDescent="0.3">
      <c r="A67" t="s">
        <v>161</v>
      </c>
      <c r="B67">
        <v>7</v>
      </c>
      <c r="C67">
        <v>3</v>
      </c>
      <c r="D67">
        <v>2026</v>
      </c>
      <c r="E67" t="s">
        <v>37</v>
      </c>
      <c r="F67" t="s">
        <v>12</v>
      </c>
      <c r="G67" t="s">
        <v>44</v>
      </c>
      <c r="H67" t="s">
        <v>28</v>
      </c>
      <c r="I67">
        <v>53541</v>
      </c>
      <c r="J67" t="s">
        <v>112</v>
      </c>
      <c r="K67" t="s">
        <v>30</v>
      </c>
    </row>
    <row r="68" spans="1:11" x14ac:dyDescent="0.3">
      <c r="A68" t="s">
        <v>162</v>
      </c>
      <c r="B68">
        <v>25</v>
      </c>
      <c r="C68">
        <v>2</v>
      </c>
      <c r="D68">
        <v>2026</v>
      </c>
      <c r="E68" t="s">
        <v>11</v>
      </c>
      <c r="F68" t="s">
        <v>20</v>
      </c>
      <c r="G68" t="s">
        <v>27</v>
      </c>
      <c r="H68" t="s">
        <v>61</v>
      </c>
      <c r="I68">
        <v>72561</v>
      </c>
      <c r="J68" t="s">
        <v>64</v>
      </c>
      <c r="K68" t="s">
        <v>23</v>
      </c>
    </row>
    <row r="69" spans="1:11" x14ac:dyDescent="0.3">
      <c r="A69" t="s">
        <v>163</v>
      </c>
      <c r="B69">
        <v>21</v>
      </c>
      <c r="C69">
        <v>3</v>
      </c>
      <c r="D69">
        <v>2026</v>
      </c>
      <c r="E69" t="s">
        <v>33</v>
      </c>
      <c r="F69" t="s">
        <v>20</v>
      </c>
      <c r="G69" t="s">
        <v>27</v>
      </c>
      <c r="H69" t="s">
        <v>28</v>
      </c>
      <c r="I69">
        <v>64529</v>
      </c>
      <c r="J69" t="s">
        <v>164</v>
      </c>
      <c r="K69" t="s">
        <v>23</v>
      </c>
    </row>
    <row r="70" spans="1:11" x14ac:dyDescent="0.3">
      <c r="A70" t="s">
        <v>165</v>
      </c>
      <c r="B70">
        <v>30</v>
      </c>
      <c r="C70">
        <v>1</v>
      </c>
      <c r="D70">
        <v>2026</v>
      </c>
      <c r="E70" t="s">
        <v>11</v>
      </c>
      <c r="F70" t="s">
        <v>12</v>
      </c>
      <c r="G70" t="s">
        <v>21</v>
      </c>
      <c r="H70" t="s">
        <v>14</v>
      </c>
      <c r="I70">
        <v>53014</v>
      </c>
      <c r="J70" t="s">
        <v>166</v>
      </c>
      <c r="K70" t="s">
        <v>41</v>
      </c>
    </row>
    <row r="71" spans="1:11" x14ac:dyDescent="0.3">
      <c r="A71" t="s">
        <v>167</v>
      </c>
      <c r="B71">
        <v>17</v>
      </c>
      <c r="C71">
        <v>2</v>
      </c>
      <c r="D71">
        <v>2026</v>
      </c>
      <c r="E71" t="s">
        <v>19</v>
      </c>
      <c r="F71" t="s">
        <v>20</v>
      </c>
      <c r="G71" t="s">
        <v>27</v>
      </c>
      <c r="H71" t="s">
        <v>39</v>
      </c>
      <c r="I71">
        <v>38443</v>
      </c>
      <c r="J71" t="s">
        <v>168</v>
      </c>
      <c r="K71" t="s">
        <v>23</v>
      </c>
    </row>
    <row r="72" spans="1:11" x14ac:dyDescent="0.3">
      <c r="A72" t="s">
        <v>169</v>
      </c>
      <c r="B72">
        <v>6</v>
      </c>
      <c r="C72">
        <v>1</v>
      </c>
      <c r="D72">
        <v>2026</v>
      </c>
      <c r="E72" t="s">
        <v>33</v>
      </c>
      <c r="F72" t="s">
        <v>20</v>
      </c>
      <c r="G72" t="s">
        <v>44</v>
      </c>
      <c r="H72" t="s">
        <v>14</v>
      </c>
      <c r="I72">
        <v>39612</v>
      </c>
      <c r="J72" t="s">
        <v>156</v>
      </c>
      <c r="K72" t="s">
        <v>41</v>
      </c>
    </row>
    <row r="73" spans="1:11" x14ac:dyDescent="0.3">
      <c r="A73" t="s">
        <v>171</v>
      </c>
      <c r="B73">
        <v>2</v>
      </c>
      <c r="C73">
        <v>3</v>
      </c>
      <c r="D73">
        <v>2026</v>
      </c>
      <c r="E73" t="s">
        <v>19</v>
      </c>
      <c r="F73" t="s">
        <v>26</v>
      </c>
      <c r="G73" t="s">
        <v>13</v>
      </c>
      <c r="H73" t="s">
        <v>39</v>
      </c>
      <c r="I73">
        <v>9011</v>
      </c>
      <c r="J73" t="s">
        <v>54</v>
      </c>
      <c r="K73" t="s">
        <v>23</v>
      </c>
    </row>
    <row r="74" spans="1:11" x14ac:dyDescent="0.3">
      <c r="A74" t="s">
        <v>172</v>
      </c>
      <c r="B74">
        <v>1</v>
      </c>
      <c r="C74">
        <v>1</v>
      </c>
      <c r="D74">
        <v>2026</v>
      </c>
      <c r="E74" t="s">
        <v>33</v>
      </c>
      <c r="F74" t="s">
        <v>20</v>
      </c>
      <c r="G74" t="s">
        <v>13</v>
      </c>
      <c r="H74" t="s">
        <v>61</v>
      </c>
      <c r="I74">
        <v>76740</v>
      </c>
      <c r="J74" t="s">
        <v>173</v>
      </c>
      <c r="K74" t="s">
        <v>23</v>
      </c>
    </row>
    <row r="75" spans="1:11" x14ac:dyDescent="0.3">
      <c r="A75" t="s">
        <v>174</v>
      </c>
      <c r="B75">
        <v>5</v>
      </c>
      <c r="C75">
        <v>2</v>
      </c>
      <c r="D75">
        <v>2026</v>
      </c>
      <c r="E75" t="s">
        <v>33</v>
      </c>
      <c r="F75" t="s">
        <v>38</v>
      </c>
      <c r="G75" t="s">
        <v>27</v>
      </c>
      <c r="H75" t="s">
        <v>39</v>
      </c>
      <c r="I75">
        <v>56174</v>
      </c>
      <c r="J75" t="s">
        <v>77</v>
      </c>
      <c r="K75" t="s">
        <v>16</v>
      </c>
    </row>
    <row r="76" spans="1:11" x14ac:dyDescent="0.3">
      <c r="A76" t="s">
        <v>175</v>
      </c>
      <c r="B76">
        <v>26</v>
      </c>
      <c r="C76">
        <v>2</v>
      </c>
      <c r="D76">
        <v>2026</v>
      </c>
      <c r="E76" t="s">
        <v>33</v>
      </c>
      <c r="F76" t="s">
        <v>12</v>
      </c>
      <c r="G76" t="s">
        <v>44</v>
      </c>
      <c r="H76" t="s">
        <v>629</v>
      </c>
      <c r="I76">
        <v>39007</v>
      </c>
      <c r="J76" t="s">
        <v>64</v>
      </c>
      <c r="K76" t="s">
        <v>30</v>
      </c>
    </row>
    <row r="77" spans="1:11" x14ac:dyDescent="0.3">
      <c r="A77" t="s">
        <v>176</v>
      </c>
      <c r="B77">
        <v>15</v>
      </c>
      <c r="C77">
        <v>3</v>
      </c>
      <c r="D77">
        <v>2026</v>
      </c>
      <c r="E77" t="s">
        <v>11</v>
      </c>
      <c r="F77" t="s">
        <v>12</v>
      </c>
      <c r="G77" t="s">
        <v>27</v>
      </c>
      <c r="H77" t="s">
        <v>61</v>
      </c>
      <c r="I77">
        <v>61074</v>
      </c>
      <c r="J77" t="s">
        <v>164</v>
      </c>
      <c r="K77" t="s">
        <v>23</v>
      </c>
    </row>
    <row r="78" spans="1:11" x14ac:dyDescent="0.3">
      <c r="A78" t="s">
        <v>177</v>
      </c>
      <c r="B78">
        <v>16</v>
      </c>
      <c r="C78">
        <v>1</v>
      </c>
      <c r="D78">
        <v>2026</v>
      </c>
      <c r="E78" t="s">
        <v>60</v>
      </c>
      <c r="F78" t="s">
        <v>20</v>
      </c>
      <c r="G78" t="s">
        <v>21</v>
      </c>
      <c r="H78" t="s">
        <v>14</v>
      </c>
      <c r="I78">
        <v>14754</v>
      </c>
      <c r="J78" t="s">
        <v>79</v>
      </c>
      <c r="K78" t="s">
        <v>23</v>
      </c>
    </row>
    <row r="79" spans="1:11" x14ac:dyDescent="0.3">
      <c r="A79" t="s">
        <v>178</v>
      </c>
      <c r="B79">
        <v>11</v>
      </c>
      <c r="C79">
        <v>1</v>
      </c>
      <c r="D79">
        <v>2026</v>
      </c>
      <c r="E79" t="s">
        <v>19</v>
      </c>
      <c r="F79" t="s">
        <v>26</v>
      </c>
      <c r="G79" t="s">
        <v>44</v>
      </c>
      <c r="H79" t="s">
        <v>39</v>
      </c>
      <c r="I79">
        <v>5339</v>
      </c>
      <c r="J79" t="s">
        <v>179</v>
      </c>
      <c r="K79" t="s">
        <v>41</v>
      </c>
    </row>
    <row r="80" spans="1:11" x14ac:dyDescent="0.3">
      <c r="A80" t="s">
        <v>180</v>
      </c>
      <c r="B80">
        <v>22</v>
      </c>
      <c r="C80">
        <v>2</v>
      </c>
      <c r="D80">
        <v>2026</v>
      </c>
      <c r="E80" t="s">
        <v>11</v>
      </c>
      <c r="F80" t="s">
        <v>26</v>
      </c>
      <c r="G80" t="s">
        <v>27</v>
      </c>
      <c r="H80" t="s">
        <v>28</v>
      </c>
      <c r="I80">
        <v>61520</v>
      </c>
      <c r="J80" t="s">
        <v>45</v>
      </c>
      <c r="K80" t="s">
        <v>16</v>
      </c>
    </row>
    <row r="81" spans="1:11" x14ac:dyDescent="0.3">
      <c r="A81" t="s">
        <v>181</v>
      </c>
      <c r="B81">
        <v>6</v>
      </c>
      <c r="C81">
        <v>1</v>
      </c>
      <c r="D81">
        <v>2026</v>
      </c>
      <c r="E81" t="s">
        <v>37</v>
      </c>
      <c r="F81" t="s">
        <v>20</v>
      </c>
      <c r="G81" t="s">
        <v>44</v>
      </c>
      <c r="H81" t="s">
        <v>61</v>
      </c>
      <c r="I81">
        <v>5717</v>
      </c>
      <c r="J81" t="s">
        <v>140</v>
      </c>
      <c r="K81" t="s">
        <v>30</v>
      </c>
    </row>
    <row r="82" spans="1:11" x14ac:dyDescent="0.3">
      <c r="A82" t="s">
        <v>182</v>
      </c>
      <c r="B82">
        <v>29</v>
      </c>
      <c r="C82">
        <v>3</v>
      </c>
      <c r="D82">
        <v>2026</v>
      </c>
      <c r="E82" t="s">
        <v>19</v>
      </c>
      <c r="F82" t="s">
        <v>20</v>
      </c>
      <c r="G82" t="s">
        <v>44</v>
      </c>
      <c r="H82" t="s">
        <v>14</v>
      </c>
      <c r="I82">
        <v>7589</v>
      </c>
      <c r="J82" t="s">
        <v>183</v>
      </c>
      <c r="K82" t="s">
        <v>30</v>
      </c>
    </row>
    <row r="83" spans="1:11" x14ac:dyDescent="0.3">
      <c r="A83" t="s">
        <v>184</v>
      </c>
      <c r="B83">
        <v>16</v>
      </c>
      <c r="C83">
        <v>2</v>
      </c>
      <c r="D83">
        <v>2026</v>
      </c>
      <c r="E83" t="s">
        <v>60</v>
      </c>
      <c r="F83" t="s">
        <v>12</v>
      </c>
      <c r="G83" t="s">
        <v>21</v>
      </c>
      <c r="H83" t="s">
        <v>61</v>
      </c>
      <c r="I83">
        <v>13678</v>
      </c>
      <c r="J83" t="s">
        <v>93</v>
      </c>
      <c r="K83" t="s">
        <v>16</v>
      </c>
    </row>
    <row r="84" spans="1:11" x14ac:dyDescent="0.3">
      <c r="A84" t="s">
        <v>186</v>
      </c>
      <c r="B84">
        <v>16</v>
      </c>
      <c r="C84">
        <v>2</v>
      </c>
      <c r="D84">
        <v>2026</v>
      </c>
      <c r="E84" t="s">
        <v>33</v>
      </c>
      <c r="F84" t="s">
        <v>12</v>
      </c>
      <c r="G84" t="s">
        <v>44</v>
      </c>
      <c r="H84" t="s">
        <v>14</v>
      </c>
      <c r="I84">
        <v>19837</v>
      </c>
      <c r="J84" t="s">
        <v>45</v>
      </c>
      <c r="K84" t="s">
        <v>16</v>
      </c>
    </row>
    <row r="85" spans="1:11" x14ac:dyDescent="0.3">
      <c r="A85" t="s">
        <v>187</v>
      </c>
      <c r="B85">
        <v>25</v>
      </c>
      <c r="C85">
        <v>3</v>
      </c>
      <c r="D85">
        <v>2026</v>
      </c>
      <c r="E85" t="s">
        <v>37</v>
      </c>
      <c r="F85" t="s">
        <v>20</v>
      </c>
      <c r="G85" t="s">
        <v>13</v>
      </c>
      <c r="H85" t="s">
        <v>61</v>
      </c>
      <c r="I85">
        <v>26814</v>
      </c>
      <c r="J85" t="s">
        <v>36</v>
      </c>
      <c r="K85" t="s">
        <v>16</v>
      </c>
    </row>
    <row r="86" spans="1:11" x14ac:dyDescent="0.3">
      <c r="A86" t="s">
        <v>188</v>
      </c>
      <c r="B86">
        <v>18</v>
      </c>
      <c r="C86">
        <v>3</v>
      </c>
      <c r="D86">
        <v>2026</v>
      </c>
      <c r="E86" t="s">
        <v>37</v>
      </c>
      <c r="F86" t="s">
        <v>26</v>
      </c>
      <c r="G86" t="s">
        <v>13</v>
      </c>
      <c r="H86" t="s">
        <v>629</v>
      </c>
      <c r="I86">
        <v>20482</v>
      </c>
      <c r="J86" t="s">
        <v>116</v>
      </c>
      <c r="K86" t="s">
        <v>16</v>
      </c>
    </row>
    <row r="87" spans="1:11" x14ac:dyDescent="0.3">
      <c r="A87" t="s">
        <v>189</v>
      </c>
      <c r="B87">
        <v>9</v>
      </c>
      <c r="C87">
        <v>2</v>
      </c>
      <c r="D87">
        <v>2026</v>
      </c>
      <c r="E87" t="s">
        <v>37</v>
      </c>
      <c r="F87" t="s">
        <v>12</v>
      </c>
      <c r="G87" t="s">
        <v>13</v>
      </c>
      <c r="H87" t="s">
        <v>629</v>
      </c>
      <c r="I87">
        <v>38033</v>
      </c>
      <c r="J87" t="s">
        <v>190</v>
      </c>
      <c r="K87" t="s">
        <v>16</v>
      </c>
    </row>
    <row r="88" spans="1:11" x14ac:dyDescent="0.3">
      <c r="A88" t="s">
        <v>191</v>
      </c>
      <c r="B88">
        <v>10</v>
      </c>
      <c r="C88">
        <v>3</v>
      </c>
      <c r="D88">
        <v>2026</v>
      </c>
      <c r="E88" t="s">
        <v>33</v>
      </c>
      <c r="F88" t="s">
        <v>12</v>
      </c>
      <c r="G88" t="s">
        <v>27</v>
      </c>
      <c r="H88" t="s">
        <v>14</v>
      </c>
      <c r="I88">
        <v>25215</v>
      </c>
      <c r="J88" t="s">
        <v>86</v>
      </c>
      <c r="K88" t="s">
        <v>23</v>
      </c>
    </row>
    <row r="89" spans="1:11" x14ac:dyDescent="0.3">
      <c r="A89" t="s">
        <v>193</v>
      </c>
      <c r="B89">
        <v>24</v>
      </c>
      <c r="C89">
        <v>2</v>
      </c>
      <c r="D89">
        <v>2026</v>
      </c>
      <c r="E89" t="s">
        <v>11</v>
      </c>
      <c r="F89" t="s">
        <v>26</v>
      </c>
      <c r="G89" t="s">
        <v>27</v>
      </c>
      <c r="H89" t="s">
        <v>39</v>
      </c>
      <c r="I89">
        <v>33052</v>
      </c>
      <c r="J89" t="s">
        <v>75</v>
      </c>
      <c r="K89" t="s">
        <v>23</v>
      </c>
    </row>
    <row r="90" spans="1:11" x14ac:dyDescent="0.3">
      <c r="A90" t="s">
        <v>194</v>
      </c>
      <c r="B90">
        <v>6</v>
      </c>
      <c r="C90">
        <v>1</v>
      </c>
      <c r="D90">
        <v>2026</v>
      </c>
      <c r="E90" t="s">
        <v>60</v>
      </c>
      <c r="F90" t="s">
        <v>20</v>
      </c>
      <c r="G90" t="s">
        <v>13</v>
      </c>
      <c r="H90" t="s">
        <v>14</v>
      </c>
      <c r="I90">
        <v>27778</v>
      </c>
      <c r="J90" t="s">
        <v>195</v>
      </c>
      <c r="K90" t="s">
        <v>41</v>
      </c>
    </row>
    <row r="91" spans="1:11" x14ac:dyDescent="0.3">
      <c r="A91" t="s">
        <v>196</v>
      </c>
      <c r="B91">
        <v>30</v>
      </c>
      <c r="C91">
        <v>1</v>
      </c>
      <c r="D91">
        <v>2026</v>
      </c>
      <c r="E91" t="s">
        <v>19</v>
      </c>
      <c r="F91" t="s">
        <v>38</v>
      </c>
      <c r="G91" t="s">
        <v>44</v>
      </c>
      <c r="H91" t="s">
        <v>14</v>
      </c>
      <c r="I91">
        <v>16426</v>
      </c>
      <c r="J91" t="s">
        <v>82</v>
      </c>
      <c r="K91" t="s">
        <v>23</v>
      </c>
    </row>
    <row r="92" spans="1:11" x14ac:dyDescent="0.3">
      <c r="A92" t="s">
        <v>197</v>
      </c>
      <c r="B92">
        <v>1</v>
      </c>
      <c r="C92">
        <v>2</v>
      </c>
      <c r="D92">
        <v>2026</v>
      </c>
      <c r="E92" t="s">
        <v>33</v>
      </c>
      <c r="F92" t="s">
        <v>20</v>
      </c>
      <c r="G92" t="s">
        <v>44</v>
      </c>
      <c r="H92" t="s">
        <v>629</v>
      </c>
      <c r="I92">
        <v>16822</v>
      </c>
      <c r="J92" t="s">
        <v>198</v>
      </c>
      <c r="K92" t="s">
        <v>41</v>
      </c>
    </row>
    <row r="93" spans="1:11" x14ac:dyDescent="0.3">
      <c r="A93" t="s">
        <v>199</v>
      </c>
      <c r="B93">
        <v>7</v>
      </c>
      <c r="C93">
        <v>2</v>
      </c>
      <c r="D93">
        <v>2026</v>
      </c>
      <c r="E93" t="s">
        <v>19</v>
      </c>
      <c r="F93" t="s">
        <v>12</v>
      </c>
      <c r="G93" t="s">
        <v>44</v>
      </c>
      <c r="H93" t="s">
        <v>61</v>
      </c>
      <c r="I93">
        <v>33977</v>
      </c>
      <c r="J93" t="s">
        <v>77</v>
      </c>
      <c r="K93" t="s">
        <v>16</v>
      </c>
    </row>
    <row r="94" spans="1:11" x14ac:dyDescent="0.3">
      <c r="A94" t="s">
        <v>200</v>
      </c>
      <c r="B94">
        <v>15</v>
      </c>
      <c r="C94">
        <v>3</v>
      </c>
      <c r="D94">
        <v>2026</v>
      </c>
      <c r="E94" t="s">
        <v>60</v>
      </c>
      <c r="F94" t="s">
        <v>26</v>
      </c>
      <c r="G94" t="s">
        <v>27</v>
      </c>
      <c r="H94" t="s">
        <v>61</v>
      </c>
      <c r="I94">
        <v>48415</v>
      </c>
      <c r="J94" t="s">
        <v>116</v>
      </c>
      <c r="K94" t="s">
        <v>30</v>
      </c>
    </row>
    <row r="95" spans="1:11" x14ac:dyDescent="0.3">
      <c r="A95" t="s">
        <v>201</v>
      </c>
      <c r="B95">
        <v>19</v>
      </c>
      <c r="C95">
        <v>1</v>
      </c>
      <c r="D95">
        <v>2026</v>
      </c>
      <c r="E95" t="s">
        <v>33</v>
      </c>
      <c r="F95" t="s">
        <v>26</v>
      </c>
      <c r="G95" t="s">
        <v>44</v>
      </c>
      <c r="H95" t="s">
        <v>28</v>
      </c>
      <c r="I95">
        <v>58953</v>
      </c>
      <c r="J95" t="s">
        <v>203</v>
      </c>
      <c r="K95" t="s">
        <v>23</v>
      </c>
    </row>
    <row r="96" spans="1:11" x14ac:dyDescent="0.3">
      <c r="A96" t="s">
        <v>204</v>
      </c>
      <c r="B96">
        <v>1</v>
      </c>
      <c r="C96">
        <v>1</v>
      </c>
      <c r="D96">
        <v>2026</v>
      </c>
      <c r="E96" t="s">
        <v>60</v>
      </c>
      <c r="F96" t="s">
        <v>12</v>
      </c>
      <c r="G96" t="s">
        <v>21</v>
      </c>
      <c r="H96" t="s">
        <v>629</v>
      </c>
      <c r="I96">
        <v>72768</v>
      </c>
      <c r="J96" t="s">
        <v>18</v>
      </c>
      <c r="K96" t="s">
        <v>23</v>
      </c>
    </row>
    <row r="97" spans="1:11" x14ac:dyDescent="0.3">
      <c r="A97" t="s">
        <v>205</v>
      </c>
      <c r="B97">
        <v>26</v>
      </c>
      <c r="C97">
        <v>2</v>
      </c>
      <c r="D97">
        <v>2026</v>
      </c>
      <c r="E97" t="s">
        <v>19</v>
      </c>
      <c r="F97" t="s">
        <v>26</v>
      </c>
      <c r="G97" t="s">
        <v>13</v>
      </c>
      <c r="H97" t="s">
        <v>61</v>
      </c>
      <c r="I97">
        <v>39663</v>
      </c>
      <c r="J97" t="s">
        <v>94</v>
      </c>
      <c r="K97" t="s">
        <v>30</v>
      </c>
    </row>
    <row r="98" spans="1:11" x14ac:dyDescent="0.3">
      <c r="A98" t="s">
        <v>206</v>
      </c>
      <c r="B98">
        <v>27</v>
      </c>
      <c r="C98">
        <v>1</v>
      </c>
      <c r="D98">
        <v>2026</v>
      </c>
      <c r="E98" t="s">
        <v>33</v>
      </c>
      <c r="F98" t="s">
        <v>26</v>
      </c>
      <c r="G98" t="s">
        <v>44</v>
      </c>
      <c r="H98" t="s">
        <v>61</v>
      </c>
      <c r="I98">
        <v>42529</v>
      </c>
      <c r="J98" t="s">
        <v>47</v>
      </c>
      <c r="K98" t="s">
        <v>30</v>
      </c>
    </row>
    <row r="99" spans="1:11" x14ac:dyDescent="0.3">
      <c r="A99" t="s">
        <v>207</v>
      </c>
      <c r="B99">
        <v>14</v>
      </c>
      <c r="C99">
        <v>2</v>
      </c>
      <c r="D99">
        <v>2026</v>
      </c>
      <c r="E99" t="s">
        <v>11</v>
      </c>
      <c r="F99" t="s">
        <v>26</v>
      </c>
      <c r="G99" t="s">
        <v>21</v>
      </c>
      <c r="H99" t="s">
        <v>39</v>
      </c>
      <c r="I99">
        <v>26616</v>
      </c>
      <c r="J99" t="s">
        <v>126</v>
      </c>
      <c r="K99" t="s">
        <v>30</v>
      </c>
    </row>
    <row r="100" spans="1:11" x14ac:dyDescent="0.3">
      <c r="A100" t="s">
        <v>208</v>
      </c>
      <c r="B100">
        <v>31</v>
      </c>
      <c r="C100">
        <v>3</v>
      </c>
      <c r="D100">
        <v>2026</v>
      </c>
      <c r="E100" t="s">
        <v>33</v>
      </c>
      <c r="F100" t="s">
        <v>26</v>
      </c>
      <c r="G100" t="s">
        <v>13</v>
      </c>
      <c r="H100" t="s">
        <v>39</v>
      </c>
      <c r="I100">
        <v>69387</v>
      </c>
      <c r="J100" t="s">
        <v>40</v>
      </c>
      <c r="K100" t="s">
        <v>41</v>
      </c>
    </row>
    <row r="101" spans="1:11" x14ac:dyDescent="0.3">
      <c r="A101" t="s">
        <v>210</v>
      </c>
      <c r="B101">
        <v>22</v>
      </c>
      <c r="C101">
        <v>2</v>
      </c>
      <c r="D101">
        <v>2026</v>
      </c>
      <c r="E101" t="s">
        <v>60</v>
      </c>
      <c r="F101" t="s">
        <v>26</v>
      </c>
      <c r="G101" t="s">
        <v>44</v>
      </c>
      <c r="H101" t="s">
        <v>39</v>
      </c>
      <c r="I101">
        <v>14158</v>
      </c>
      <c r="J101" t="s">
        <v>94</v>
      </c>
      <c r="K101" t="s">
        <v>41</v>
      </c>
    </row>
    <row r="102" spans="1:11" x14ac:dyDescent="0.3">
      <c r="A102" t="s">
        <v>211</v>
      </c>
      <c r="B102">
        <v>9</v>
      </c>
      <c r="C102">
        <v>1</v>
      </c>
      <c r="D102">
        <v>2026</v>
      </c>
      <c r="E102" t="s">
        <v>37</v>
      </c>
      <c r="F102" t="s">
        <v>26</v>
      </c>
      <c r="G102" t="s">
        <v>21</v>
      </c>
      <c r="H102" t="s">
        <v>629</v>
      </c>
      <c r="I102">
        <v>41500</v>
      </c>
      <c r="J102" t="s">
        <v>136</v>
      </c>
      <c r="K102" t="s">
        <v>30</v>
      </c>
    </row>
    <row r="103" spans="1:11" x14ac:dyDescent="0.3">
      <c r="A103" t="s">
        <v>212</v>
      </c>
      <c r="B103">
        <v>26</v>
      </c>
      <c r="C103">
        <v>3</v>
      </c>
      <c r="D103">
        <v>2026</v>
      </c>
      <c r="E103" t="s">
        <v>11</v>
      </c>
      <c r="F103" t="s">
        <v>38</v>
      </c>
      <c r="G103" t="s">
        <v>21</v>
      </c>
      <c r="H103" t="s">
        <v>629</v>
      </c>
      <c r="I103">
        <v>60169</v>
      </c>
      <c r="J103" t="s">
        <v>213</v>
      </c>
      <c r="K103" t="s">
        <v>30</v>
      </c>
    </row>
    <row r="104" spans="1:11" x14ac:dyDescent="0.3">
      <c r="A104" t="s">
        <v>214</v>
      </c>
      <c r="B104">
        <v>4</v>
      </c>
      <c r="C104">
        <v>2</v>
      </c>
      <c r="D104">
        <v>2026</v>
      </c>
      <c r="E104" t="s">
        <v>60</v>
      </c>
      <c r="F104" t="s">
        <v>12</v>
      </c>
      <c r="G104" t="s">
        <v>13</v>
      </c>
      <c r="H104" t="s">
        <v>61</v>
      </c>
      <c r="I104">
        <v>63915</v>
      </c>
      <c r="J104" t="s">
        <v>47</v>
      </c>
      <c r="K104" t="s">
        <v>16</v>
      </c>
    </row>
    <row r="105" spans="1:11" x14ac:dyDescent="0.3">
      <c r="A105" t="s">
        <v>215</v>
      </c>
      <c r="B105">
        <v>5</v>
      </c>
      <c r="C105">
        <v>3</v>
      </c>
      <c r="D105">
        <v>2026</v>
      </c>
      <c r="E105" t="s">
        <v>60</v>
      </c>
      <c r="F105" t="s">
        <v>20</v>
      </c>
      <c r="G105" t="s">
        <v>21</v>
      </c>
      <c r="H105" t="s">
        <v>629</v>
      </c>
      <c r="I105">
        <v>47888</v>
      </c>
      <c r="J105" t="s">
        <v>64</v>
      </c>
      <c r="K105" t="s">
        <v>41</v>
      </c>
    </row>
    <row r="106" spans="1:11" x14ac:dyDescent="0.3">
      <c r="A106" t="s">
        <v>216</v>
      </c>
      <c r="B106">
        <v>13</v>
      </c>
      <c r="C106">
        <v>3</v>
      </c>
      <c r="D106">
        <v>2026</v>
      </c>
      <c r="E106" t="s">
        <v>37</v>
      </c>
      <c r="F106" t="s">
        <v>20</v>
      </c>
      <c r="G106" t="s">
        <v>13</v>
      </c>
      <c r="H106" t="s">
        <v>61</v>
      </c>
      <c r="I106">
        <v>32953</v>
      </c>
      <c r="J106" t="s">
        <v>132</v>
      </c>
      <c r="K106" t="s">
        <v>23</v>
      </c>
    </row>
    <row r="107" spans="1:11" x14ac:dyDescent="0.3">
      <c r="A107" t="s">
        <v>217</v>
      </c>
      <c r="B107">
        <v>15</v>
      </c>
      <c r="C107">
        <v>2</v>
      </c>
      <c r="D107">
        <v>2026</v>
      </c>
      <c r="E107" t="s">
        <v>60</v>
      </c>
      <c r="F107" t="s">
        <v>26</v>
      </c>
      <c r="G107" t="s">
        <v>27</v>
      </c>
      <c r="H107" t="s">
        <v>629</v>
      </c>
      <c r="I107">
        <v>21800</v>
      </c>
      <c r="J107" t="s">
        <v>51</v>
      </c>
      <c r="K107" t="s">
        <v>41</v>
      </c>
    </row>
    <row r="108" spans="1:11" x14ac:dyDescent="0.3">
      <c r="A108" t="s">
        <v>218</v>
      </c>
      <c r="B108">
        <v>3</v>
      </c>
      <c r="C108">
        <v>1</v>
      </c>
      <c r="D108">
        <v>2026</v>
      </c>
      <c r="E108" t="s">
        <v>33</v>
      </c>
      <c r="F108" t="s">
        <v>38</v>
      </c>
      <c r="G108" t="s">
        <v>13</v>
      </c>
      <c r="H108" t="s">
        <v>39</v>
      </c>
      <c r="I108">
        <v>61203</v>
      </c>
      <c r="J108" t="s">
        <v>219</v>
      </c>
      <c r="K108" t="s">
        <v>30</v>
      </c>
    </row>
    <row r="109" spans="1:11" x14ac:dyDescent="0.3">
      <c r="A109" t="s">
        <v>220</v>
      </c>
      <c r="B109">
        <v>23</v>
      </c>
      <c r="C109">
        <v>3</v>
      </c>
      <c r="D109">
        <v>2026</v>
      </c>
      <c r="E109" t="s">
        <v>11</v>
      </c>
      <c r="F109" t="s">
        <v>38</v>
      </c>
      <c r="G109" t="s">
        <v>21</v>
      </c>
      <c r="H109" t="s">
        <v>61</v>
      </c>
      <c r="I109">
        <v>29503</v>
      </c>
      <c r="J109" t="s">
        <v>221</v>
      </c>
      <c r="K109" t="s">
        <v>30</v>
      </c>
    </row>
    <row r="110" spans="1:11" x14ac:dyDescent="0.3">
      <c r="A110" t="s">
        <v>222</v>
      </c>
      <c r="B110">
        <v>21</v>
      </c>
      <c r="C110">
        <v>2</v>
      </c>
      <c r="D110">
        <v>2026</v>
      </c>
      <c r="E110" t="s">
        <v>33</v>
      </c>
      <c r="F110" t="s">
        <v>26</v>
      </c>
      <c r="G110" t="s">
        <v>21</v>
      </c>
      <c r="H110" t="s">
        <v>39</v>
      </c>
      <c r="I110">
        <v>34084</v>
      </c>
      <c r="J110" t="s">
        <v>94</v>
      </c>
      <c r="K110" t="s">
        <v>23</v>
      </c>
    </row>
    <row r="111" spans="1:11" x14ac:dyDescent="0.3">
      <c r="A111" t="s">
        <v>223</v>
      </c>
      <c r="B111">
        <v>12</v>
      </c>
      <c r="C111">
        <v>1</v>
      </c>
      <c r="D111">
        <v>2026</v>
      </c>
      <c r="E111" t="s">
        <v>37</v>
      </c>
      <c r="F111" t="s">
        <v>12</v>
      </c>
      <c r="G111" t="s">
        <v>27</v>
      </c>
      <c r="H111" t="s">
        <v>39</v>
      </c>
      <c r="I111">
        <v>34120</v>
      </c>
      <c r="J111" t="s">
        <v>224</v>
      </c>
      <c r="K111" t="s">
        <v>23</v>
      </c>
    </row>
    <row r="112" spans="1:11" x14ac:dyDescent="0.3">
      <c r="A112" t="s">
        <v>225</v>
      </c>
      <c r="B112">
        <v>2</v>
      </c>
      <c r="C112">
        <v>3</v>
      </c>
      <c r="D112">
        <v>2026</v>
      </c>
      <c r="E112" t="s">
        <v>19</v>
      </c>
      <c r="F112" t="s">
        <v>20</v>
      </c>
      <c r="G112" t="s">
        <v>44</v>
      </c>
      <c r="H112" t="s">
        <v>629</v>
      </c>
      <c r="I112">
        <v>14292</v>
      </c>
      <c r="J112" t="s">
        <v>84</v>
      </c>
      <c r="K112" t="s">
        <v>23</v>
      </c>
    </row>
    <row r="113" spans="1:11" x14ac:dyDescent="0.3">
      <c r="A113" t="s">
        <v>226</v>
      </c>
      <c r="B113">
        <v>26</v>
      </c>
      <c r="C113">
        <v>2</v>
      </c>
      <c r="D113">
        <v>2026</v>
      </c>
      <c r="E113" t="s">
        <v>60</v>
      </c>
      <c r="F113" t="s">
        <v>20</v>
      </c>
      <c r="G113" t="s">
        <v>21</v>
      </c>
      <c r="H113" t="s">
        <v>28</v>
      </c>
      <c r="I113">
        <v>5228</v>
      </c>
      <c r="J113" t="s">
        <v>75</v>
      </c>
      <c r="K113" t="s">
        <v>16</v>
      </c>
    </row>
    <row r="114" spans="1:11" x14ac:dyDescent="0.3">
      <c r="A114" t="s">
        <v>227</v>
      </c>
      <c r="B114">
        <v>12</v>
      </c>
      <c r="C114">
        <v>3</v>
      </c>
      <c r="D114">
        <v>2026</v>
      </c>
      <c r="E114" t="s">
        <v>33</v>
      </c>
      <c r="F114" t="s">
        <v>20</v>
      </c>
      <c r="G114" t="s">
        <v>13</v>
      </c>
      <c r="H114" t="s">
        <v>629</v>
      </c>
      <c r="I114">
        <v>76919</v>
      </c>
      <c r="J114" t="s">
        <v>98</v>
      </c>
      <c r="K114" t="s">
        <v>23</v>
      </c>
    </row>
    <row r="115" spans="1:11" x14ac:dyDescent="0.3">
      <c r="A115" t="s">
        <v>228</v>
      </c>
      <c r="B115">
        <v>22</v>
      </c>
      <c r="C115">
        <v>1</v>
      </c>
      <c r="D115">
        <v>2026</v>
      </c>
      <c r="E115" t="s">
        <v>33</v>
      </c>
      <c r="F115" t="s">
        <v>26</v>
      </c>
      <c r="G115" t="s">
        <v>13</v>
      </c>
      <c r="H115" t="s">
        <v>629</v>
      </c>
      <c r="I115">
        <v>26832</v>
      </c>
      <c r="J115" t="s">
        <v>15</v>
      </c>
      <c r="K115" t="s">
        <v>30</v>
      </c>
    </row>
    <row r="116" spans="1:11" x14ac:dyDescent="0.3">
      <c r="A116" t="s">
        <v>230</v>
      </c>
      <c r="B116">
        <v>12</v>
      </c>
      <c r="C116">
        <v>3</v>
      </c>
      <c r="D116">
        <v>2026</v>
      </c>
      <c r="E116" t="s">
        <v>37</v>
      </c>
      <c r="F116" t="s">
        <v>20</v>
      </c>
      <c r="G116" t="s">
        <v>21</v>
      </c>
      <c r="H116" t="s">
        <v>629</v>
      </c>
      <c r="I116">
        <v>30093</v>
      </c>
      <c r="J116" t="s">
        <v>57</v>
      </c>
      <c r="K116" t="s">
        <v>30</v>
      </c>
    </row>
    <row r="117" spans="1:11" x14ac:dyDescent="0.3">
      <c r="A117" t="s">
        <v>231</v>
      </c>
      <c r="B117">
        <v>23</v>
      </c>
      <c r="C117">
        <v>3</v>
      </c>
      <c r="D117">
        <v>2026</v>
      </c>
      <c r="E117" t="s">
        <v>37</v>
      </c>
      <c r="F117" t="s">
        <v>20</v>
      </c>
      <c r="G117" t="s">
        <v>13</v>
      </c>
      <c r="H117" t="s">
        <v>14</v>
      </c>
      <c r="I117">
        <v>67449</v>
      </c>
      <c r="J117" t="s">
        <v>209</v>
      </c>
      <c r="K117" t="s">
        <v>23</v>
      </c>
    </row>
    <row r="118" spans="1:11" x14ac:dyDescent="0.3">
      <c r="A118" t="s">
        <v>232</v>
      </c>
      <c r="B118">
        <v>17</v>
      </c>
      <c r="C118">
        <v>3</v>
      </c>
      <c r="D118">
        <v>2026</v>
      </c>
      <c r="E118" t="s">
        <v>33</v>
      </c>
      <c r="F118" t="s">
        <v>20</v>
      </c>
      <c r="G118" t="s">
        <v>13</v>
      </c>
      <c r="H118" t="s">
        <v>28</v>
      </c>
      <c r="I118">
        <v>33940</v>
      </c>
      <c r="J118" t="s">
        <v>98</v>
      </c>
      <c r="K118" t="s">
        <v>16</v>
      </c>
    </row>
    <row r="119" spans="1:11" x14ac:dyDescent="0.3">
      <c r="A119" t="s">
        <v>234</v>
      </c>
      <c r="B119">
        <v>13</v>
      </c>
      <c r="C119">
        <v>2</v>
      </c>
      <c r="D119">
        <v>2026</v>
      </c>
      <c r="E119" t="s">
        <v>19</v>
      </c>
      <c r="F119" t="s">
        <v>12</v>
      </c>
      <c r="G119" t="s">
        <v>44</v>
      </c>
      <c r="H119" t="s">
        <v>629</v>
      </c>
      <c r="I119">
        <v>15965</v>
      </c>
      <c r="J119" t="s">
        <v>43</v>
      </c>
      <c r="K119" t="s">
        <v>41</v>
      </c>
    </row>
    <row r="120" spans="1:11" x14ac:dyDescent="0.3">
      <c r="A120" t="s">
        <v>235</v>
      </c>
      <c r="B120">
        <v>5</v>
      </c>
      <c r="C120">
        <v>3</v>
      </c>
      <c r="D120">
        <v>2026</v>
      </c>
      <c r="E120" t="s">
        <v>19</v>
      </c>
      <c r="F120" t="s">
        <v>26</v>
      </c>
      <c r="G120" t="s">
        <v>27</v>
      </c>
      <c r="H120" t="s">
        <v>14</v>
      </c>
      <c r="I120">
        <v>39480</v>
      </c>
      <c r="J120" t="s">
        <v>112</v>
      </c>
      <c r="K120" t="s">
        <v>23</v>
      </c>
    </row>
    <row r="121" spans="1:11" x14ac:dyDescent="0.3">
      <c r="A121" t="s">
        <v>236</v>
      </c>
      <c r="B121">
        <v>17</v>
      </c>
      <c r="C121">
        <v>2</v>
      </c>
      <c r="D121">
        <v>2026</v>
      </c>
      <c r="E121" t="s">
        <v>11</v>
      </c>
      <c r="F121" t="s">
        <v>12</v>
      </c>
      <c r="G121" t="s">
        <v>44</v>
      </c>
      <c r="H121" t="s">
        <v>39</v>
      </c>
      <c r="I121">
        <v>30797</v>
      </c>
      <c r="J121" t="s">
        <v>160</v>
      </c>
      <c r="K121" t="s">
        <v>23</v>
      </c>
    </row>
    <row r="122" spans="1:11" x14ac:dyDescent="0.3">
      <c r="A122" t="s">
        <v>237</v>
      </c>
      <c r="B122">
        <v>2</v>
      </c>
      <c r="C122">
        <v>1</v>
      </c>
      <c r="D122">
        <v>2026</v>
      </c>
      <c r="E122" t="s">
        <v>19</v>
      </c>
      <c r="F122" t="s">
        <v>38</v>
      </c>
      <c r="G122" t="s">
        <v>13</v>
      </c>
      <c r="H122" t="s">
        <v>629</v>
      </c>
      <c r="I122">
        <v>77161</v>
      </c>
      <c r="J122" t="s">
        <v>22</v>
      </c>
      <c r="K122" t="s">
        <v>41</v>
      </c>
    </row>
    <row r="123" spans="1:11" x14ac:dyDescent="0.3">
      <c r="A123" t="s">
        <v>239</v>
      </c>
      <c r="B123">
        <v>28</v>
      </c>
      <c r="C123">
        <v>2</v>
      </c>
      <c r="D123">
        <v>2026</v>
      </c>
      <c r="E123" t="s">
        <v>60</v>
      </c>
      <c r="F123" t="s">
        <v>12</v>
      </c>
      <c r="G123" t="s">
        <v>44</v>
      </c>
      <c r="H123" t="s">
        <v>39</v>
      </c>
      <c r="I123">
        <v>65704</v>
      </c>
      <c r="J123" t="s">
        <v>64</v>
      </c>
      <c r="K123" t="s">
        <v>30</v>
      </c>
    </row>
    <row r="124" spans="1:11" x14ac:dyDescent="0.3">
      <c r="A124" t="s">
        <v>241</v>
      </c>
      <c r="B124">
        <v>2</v>
      </c>
      <c r="C124">
        <v>1</v>
      </c>
      <c r="D124">
        <v>2026</v>
      </c>
      <c r="E124" t="s">
        <v>60</v>
      </c>
      <c r="F124" t="s">
        <v>12</v>
      </c>
      <c r="G124" t="s">
        <v>44</v>
      </c>
      <c r="H124" t="s">
        <v>629</v>
      </c>
      <c r="I124">
        <v>62925</v>
      </c>
      <c r="J124" t="s">
        <v>22</v>
      </c>
      <c r="K124" t="s">
        <v>41</v>
      </c>
    </row>
    <row r="125" spans="1:11" x14ac:dyDescent="0.3">
      <c r="A125" t="s">
        <v>242</v>
      </c>
      <c r="B125">
        <v>17</v>
      </c>
      <c r="C125">
        <v>2</v>
      </c>
      <c r="D125">
        <v>2026</v>
      </c>
      <c r="E125" t="s">
        <v>11</v>
      </c>
      <c r="F125" t="s">
        <v>20</v>
      </c>
      <c r="G125" t="s">
        <v>13</v>
      </c>
      <c r="H125" t="s">
        <v>629</v>
      </c>
      <c r="I125">
        <v>19827</v>
      </c>
      <c r="J125" t="s">
        <v>151</v>
      </c>
      <c r="K125" t="s">
        <v>16</v>
      </c>
    </row>
    <row r="126" spans="1:11" x14ac:dyDescent="0.3">
      <c r="A126" t="s">
        <v>243</v>
      </c>
      <c r="B126">
        <v>5</v>
      </c>
      <c r="C126">
        <v>2</v>
      </c>
      <c r="D126">
        <v>2026</v>
      </c>
      <c r="E126" t="s">
        <v>19</v>
      </c>
      <c r="F126" t="s">
        <v>20</v>
      </c>
      <c r="G126" t="s">
        <v>27</v>
      </c>
      <c r="H126" t="s">
        <v>14</v>
      </c>
      <c r="I126">
        <v>49577</v>
      </c>
      <c r="J126" t="s">
        <v>134</v>
      </c>
      <c r="K126" t="s">
        <v>41</v>
      </c>
    </row>
    <row r="127" spans="1:11" x14ac:dyDescent="0.3">
      <c r="A127" t="s">
        <v>244</v>
      </c>
      <c r="B127">
        <v>6</v>
      </c>
      <c r="C127">
        <v>2</v>
      </c>
      <c r="D127">
        <v>2026</v>
      </c>
      <c r="E127" t="s">
        <v>11</v>
      </c>
      <c r="F127" t="s">
        <v>26</v>
      </c>
      <c r="G127" t="s">
        <v>21</v>
      </c>
      <c r="H127" t="s">
        <v>39</v>
      </c>
      <c r="I127">
        <v>79838</v>
      </c>
      <c r="J127" t="s">
        <v>77</v>
      </c>
      <c r="K127" t="s">
        <v>30</v>
      </c>
    </row>
    <row r="128" spans="1:11" x14ac:dyDescent="0.3">
      <c r="A128" t="s">
        <v>245</v>
      </c>
      <c r="B128">
        <v>6</v>
      </c>
      <c r="C128">
        <v>2</v>
      </c>
      <c r="D128">
        <v>2026</v>
      </c>
      <c r="E128" t="s">
        <v>60</v>
      </c>
      <c r="F128" t="s">
        <v>26</v>
      </c>
      <c r="G128" t="s">
        <v>27</v>
      </c>
      <c r="H128" t="s">
        <v>629</v>
      </c>
      <c r="I128">
        <v>60187</v>
      </c>
      <c r="J128" t="s">
        <v>185</v>
      </c>
      <c r="K128" t="s">
        <v>23</v>
      </c>
    </row>
    <row r="129" spans="1:11" x14ac:dyDescent="0.3">
      <c r="A129" t="s">
        <v>246</v>
      </c>
      <c r="B129">
        <v>16</v>
      </c>
      <c r="C129">
        <v>3</v>
      </c>
      <c r="D129">
        <v>2026</v>
      </c>
      <c r="E129" t="s">
        <v>37</v>
      </c>
      <c r="F129" t="s">
        <v>20</v>
      </c>
      <c r="G129" t="s">
        <v>21</v>
      </c>
      <c r="H129" t="s">
        <v>28</v>
      </c>
      <c r="I129">
        <v>40206</v>
      </c>
      <c r="J129" t="s">
        <v>98</v>
      </c>
      <c r="K129" t="s">
        <v>41</v>
      </c>
    </row>
    <row r="130" spans="1:11" x14ac:dyDescent="0.3">
      <c r="A130" t="s">
        <v>247</v>
      </c>
      <c r="B130">
        <v>9</v>
      </c>
      <c r="C130">
        <v>1</v>
      </c>
      <c r="D130">
        <v>2026</v>
      </c>
      <c r="E130" t="s">
        <v>37</v>
      </c>
      <c r="F130" t="s">
        <v>20</v>
      </c>
      <c r="G130" t="s">
        <v>44</v>
      </c>
      <c r="H130" t="s">
        <v>28</v>
      </c>
      <c r="I130">
        <v>20113</v>
      </c>
      <c r="J130" t="s">
        <v>202</v>
      </c>
      <c r="K130" t="s">
        <v>41</v>
      </c>
    </row>
    <row r="131" spans="1:11" x14ac:dyDescent="0.3">
      <c r="A131" t="s">
        <v>248</v>
      </c>
      <c r="B131">
        <v>26</v>
      </c>
      <c r="C131">
        <v>3</v>
      </c>
      <c r="D131">
        <v>2026</v>
      </c>
      <c r="E131" t="s">
        <v>37</v>
      </c>
      <c r="F131" t="s">
        <v>38</v>
      </c>
      <c r="G131" t="s">
        <v>21</v>
      </c>
      <c r="H131" t="s">
        <v>14</v>
      </c>
      <c r="I131">
        <v>53699</v>
      </c>
      <c r="J131" t="s">
        <v>213</v>
      </c>
      <c r="K131" t="s">
        <v>30</v>
      </c>
    </row>
    <row r="132" spans="1:11" x14ac:dyDescent="0.3">
      <c r="A132" t="s">
        <v>249</v>
      </c>
      <c r="B132">
        <v>16</v>
      </c>
      <c r="C132">
        <v>2</v>
      </c>
      <c r="D132">
        <v>2026</v>
      </c>
      <c r="E132" t="s">
        <v>19</v>
      </c>
      <c r="F132" t="s">
        <v>38</v>
      </c>
      <c r="G132" t="s">
        <v>44</v>
      </c>
      <c r="H132" t="s">
        <v>39</v>
      </c>
      <c r="I132">
        <v>79328</v>
      </c>
      <c r="J132" t="s">
        <v>250</v>
      </c>
      <c r="K132" t="s">
        <v>30</v>
      </c>
    </row>
    <row r="133" spans="1:11" x14ac:dyDescent="0.3">
      <c r="A133" t="s">
        <v>251</v>
      </c>
      <c r="B133">
        <v>24</v>
      </c>
      <c r="C133">
        <v>1</v>
      </c>
      <c r="D133">
        <v>2026</v>
      </c>
      <c r="E133" t="s">
        <v>60</v>
      </c>
      <c r="F133" t="s">
        <v>38</v>
      </c>
      <c r="G133" t="s">
        <v>13</v>
      </c>
      <c r="H133" t="s">
        <v>629</v>
      </c>
      <c r="I133">
        <v>50852</v>
      </c>
      <c r="J133" t="s">
        <v>25</v>
      </c>
      <c r="K133" t="s">
        <v>41</v>
      </c>
    </row>
    <row r="134" spans="1:11" x14ac:dyDescent="0.3">
      <c r="A134" t="s">
        <v>252</v>
      </c>
      <c r="B134">
        <v>23</v>
      </c>
      <c r="C134">
        <v>3</v>
      </c>
      <c r="D134">
        <v>2026</v>
      </c>
      <c r="E134" t="s">
        <v>19</v>
      </c>
      <c r="F134" t="s">
        <v>12</v>
      </c>
      <c r="G134" t="s">
        <v>21</v>
      </c>
      <c r="H134" t="s">
        <v>629</v>
      </c>
      <c r="I134">
        <v>66994</v>
      </c>
      <c r="J134" t="s">
        <v>99</v>
      </c>
      <c r="K134" t="s">
        <v>16</v>
      </c>
    </row>
    <row r="135" spans="1:11" x14ac:dyDescent="0.3">
      <c r="A135" t="s">
        <v>253</v>
      </c>
      <c r="B135">
        <v>18</v>
      </c>
      <c r="C135">
        <v>2</v>
      </c>
      <c r="D135">
        <v>2026</v>
      </c>
      <c r="E135" t="s">
        <v>60</v>
      </c>
      <c r="F135" t="s">
        <v>38</v>
      </c>
      <c r="G135" t="s">
        <v>27</v>
      </c>
      <c r="H135" t="s">
        <v>39</v>
      </c>
      <c r="I135">
        <v>14820</v>
      </c>
      <c r="J135" t="s">
        <v>151</v>
      </c>
      <c r="K135" t="s">
        <v>23</v>
      </c>
    </row>
    <row r="136" spans="1:11" x14ac:dyDescent="0.3">
      <c r="A136" t="s">
        <v>254</v>
      </c>
      <c r="B136">
        <v>6</v>
      </c>
      <c r="C136">
        <v>1</v>
      </c>
      <c r="D136">
        <v>2026</v>
      </c>
      <c r="E136" t="s">
        <v>19</v>
      </c>
      <c r="F136" t="s">
        <v>20</v>
      </c>
      <c r="G136" t="s">
        <v>44</v>
      </c>
      <c r="H136" t="s">
        <v>28</v>
      </c>
      <c r="I136">
        <v>58035</v>
      </c>
      <c r="J136" t="s">
        <v>88</v>
      </c>
      <c r="K136" t="s">
        <v>41</v>
      </c>
    </row>
    <row r="137" spans="1:11" x14ac:dyDescent="0.3">
      <c r="A137" t="s">
        <v>255</v>
      </c>
      <c r="B137">
        <v>22</v>
      </c>
      <c r="C137">
        <v>3</v>
      </c>
      <c r="D137">
        <v>2026</v>
      </c>
      <c r="E137" t="s">
        <v>11</v>
      </c>
      <c r="F137" t="s">
        <v>12</v>
      </c>
      <c r="G137" t="s">
        <v>44</v>
      </c>
      <c r="H137" t="s">
        <v>39</v>
      </c>
      <c r="I137">
        <v>27910</v>
      </c>
      <c r="J137" t="s">
        <v>209</v>
      </c>
      <c r="K137" t="s">
        <v>41</v>
      </c>
    </row>
    <row r="138" spans="1:11" x14ac:dyDescent="0.3">
      <c r="A138" t="s">
        <v>256</v>
      </c>
      <c r="B138">
        <v>30</v>
      </c>
      <c r="C138">
        <v>1</v>
      </c>
      <c r="D138">
        <v>2026</v>
      </c>
      <c r="E138" t="s">
        <v>19</v>
      </c>
      <c r="F138" t="s">
        <v>12</v>
      </c>
      <c r="G138" t="s">
        <v>44</v>
      </c>
      <c r="H138" t="s">
        <v>39</v>
      </c>
      <c r="I138">
        <v>46902</v>
      </c>
      <c r="J138" t="s">
        <v>47</v>
      </c>
      <c r="K138" t="s">
        <v>41</v>
      </c>
    </row>
    <row r="139" spans="1:11" x14ac:dyDescent="0.3">
      <c r="A139" t="s">
        <v>257</v>
      </c>
      <c r="B139">
        <v>19</v>
      </c>
      <c r="C139">
        <v>2</v>
      </c>
      <c r="D139">
        <v>2026</v>
      </c>
      <c r="E139" t="s">
        <v>33</v>
      </c>
      <c r="F139" t="s">
        <v>12</v>
      </c>
      <c r="G139" t="s">
        <v>44</v>
      </c>
      <c r="H139" t="s">
        <v>39</v>
      </c>
      <c r="I139">
        <v>18207</v>
      </c>
      <c r="J139" t="s">
        <v>127</v>
      </c>
      <c r="K139" t="s">
        <v>41</v>
      </c>
    </row>
    <row r="140" spans="1:11" x14ac:dyDescent="0.3">
      <c r="A140" t="s">
        <v>258</v>
      </c>
      <c r="B140">
        <v>3</v>
      </c>
      <c r="C140">
        <v>1</v>
      </c>
      <c r="D140">
        <v>2026</v>
      </c>
      <c r="E140" t="s">
        <v>19</v>
      </c>
      <c r="F140" t="s">
        <v>38</v>
      </c>
      <c r="G140" t="s">
        <v>44</v>
      </c>
      <c r="H140" t="s">
        <v>629</v>
      </c>
      <c r="I140">
        <v>45452</v>
      </c>
      <c r="J140" t="s">
        <v>22</v>
      </c>
      <c r="K140" t="s">
        <v>23</v>
      </c>
    </row>
    <row r="141" spans="1:11" x14ac:dyDescent="0.3">
      <c r="A141" t="s">
        <v>259</v>
      </c>
      <c r="B141">
        <v>21</v>
      </c>
      <c r="C141">
        <v>2</v>
      </c>
      <c r="D141">
        <v>2026</v>
      </c>
      <c r="E141" t="s">
        <v>11</v>
      </c>
      <c r="F141" t="s">
        <v>38</v>
      </c>
      <c r="G141" t="s">
        <v>27</v>
      </c>
      <c r="H141" t="s">
        <v>14</v>
      </c>
      <c r="I141">
        <v>9344</v>
      </c>
      <c r="J141" t="s">
        <v>127</v>
      </c>
      <c r="K141" t="s">
        <v>23</v>
      </c>
    </row>
    <row r="142" spans="1:11" x14ac:dyDescent="0.3">
      <c r="A142" t="s">
        <v>260</v>
      </c>
      <c r="B142">
        <v>8</v>
      </c>
      <c r="C142">
        <v>2</v>
      </c>
      <c r="D142">
        <v>2026</v>
      </c>
      <c r="E142" t="s">
        <v>60</v>
      </c>
      <c r="F142" t="s">
        <v>38</v>
      </c>
      <c r="G142" t="s">
        <v>13</v>
      </c>
      <c r="H142" t="s">
        <v>61</v>
      </c>
      <c r="I142">
        <v>50401</v>
      </c>
      <c r="J142" t="s">
        <v>250</v>
      </c>
      <c r="K142" t="s">
        <v>23</v>
      </c>
    </row>
    <row r="143" spans="1:11" x14ac:dyDescent="0.3">
      <c r="A143" t="s">
        <v>261</v>
      </c>
      <c r="B143">
        <v>25</v>
      </c>
      <c r="C143">
        <v>3</v>
      </c>
      <c r="D143">
        <v>2026</v>
      </c>
      <c r="E143" t="s">
        <v>19</v>
      </c>
      <c r="F143" t="s">
        <v>38</v>
      </c>
      <c r="G143" t="s">
        <v>44</v>
      </c>
      <c r="H143" t="s">
        <v>39</v>
      </c>
      <c r="I143">
        <v>29007</v>
      </c>
      <c r="J143" t="s">
        <v>262</v>
      </c>
      <c r="K143" t="s">
        <v>16</v>
      </c>
    </row>
    <row r="144" spans="1:11" x14ac:dyDescent="0.3">
      <c r="A144" t="s">
        <v>263</v>
      </c>
      <c r="B144">
        <v>4</v>
      </c>
      <c r="C144">
        <v>2</v>
      </c>
      <c r="D144">
        <v>2026</v>
      </c>
      <c r="E144" t="s">
        <v>33</v>
      </c>
      <c r="F144" t="s">
        <v>26</v>
      </c>
      <c r="G144" t="s">
        <v>21</v>
      </c>
      <c r="H144" t="s">
        <v>14</v>
      </c>
      <c r="I144">
        <v>5105</v>
      </c>
      <c r="J144" t="s">
        <v>48</v>
      </c>
      <c r="K144" t="s">
        <v>16</v>
      </c>
    </row>
    <row r="145" spans="1:11" x14ac:dyDescent="0.3">
      <c r="A145" t="s">
        <v>264</v>
      </c>
      <c r="B145">
        <v>30</v>
      </c>
      <c r="C145">
        <v>1</v>
      </c>
      <c r="D145">
        <v>2026</v>
      </c>
      <c r="E145" t="s">
        <v>37</v>
      </c>
      <c r="F145" t="s">
        <v>12</v>
      </c>
      <c r="G145" t="s">
        <v>13</v>
      </c>
      <c r="H145" t="s">
        <v>39</v>
      </c>
      <c r="I145">
        <v>62830</v>
      </c>
      <c r="J145" t="s">
        <v>130</v>
      </c>
      <c r="K145" t="s">
        <v>23</v>
      </c>
    </row>
    <row r="146" spans="1:11" x14ac:dyDescent="0.3">
      <c r="A146" t="s">
        <v>265</v>
      </c>
      <c r="B146">
        <v>25</v>
      </c>
      <c r="C146">
        <v>3</v>
      </c>
      <c r="D146">
        <v>2026</v>
      </c>
      <c r="E146" t="s">
        <v>37</v>
      </c>
      <c r="F146" t="s">
        <v>20</v>
      </c>
      <c r="G146" t="s">
        <v>13</v>
      </c>
      <c r="H146" t="s">
        <v>61</v>
      </c>
      <c r="I146">
        <v>5714</v>
      </c>
      <c r="J146" t="s">
        <v>213</v>
      </c>
      <c r="K146" t="s">
        <v>41</v>
      </c>
    </row>
    <row r="147" spans="1:11" x14ac:dyDescent="0.3">
      <c r="A147" t="s">
        <v>266</v>
      </c>
      <c r="B147">
        <v>12</v>
      </c>
      <c r="C147">
        <v>2</v>
      </c>
      <c r="D147">
        <v>2026</v>
      </c>
      <c r="E147" t="s">
        <v>11</v>
      </c>
      <c r="F147" t="s">
        <v>20</v>
      </c>
      <c r="G147" t="s">
        <v>27</v>
      </c>
      <c r="H147" t="s">
        <v>61</v>
      </c>
      <c r="I147">
        <v>30589</v>
      </c>
      <c r="J147" t="s">
        <v>43</v>
      </c>
      <c r="K147" t="s">
        <v>16</v>
      </c>
    </row>
    <row r="148" spans="1:11" x14ac:dyDescent="0.3">
      <c r="A148" t="s">
        <v>267</v>
      </c>
      <c r="B148">
        <v>25</v>
      </c>
      <c r="C148">
        <v>3</v>
      </c>
      <c r="D148">
        <v>2026</v>
      </c>
      <c r="E148" t="s">
        <v>19</v>
      </c>
      <c r="F148" t="s">
        <v>20</v>
      </c>
      <c r="G148" t="s">
        <v>13</v>
      </c>
      <c r="H148" t="s">
        <v>61</v>
      </c>
      <c r="I148">
        <v>63234</v>
      </c>
      <c r="J148" t="s">
        <v>268</v>
      </c>
      <c r="K148" t="s">
        <v>23</v>
      </c>
    </row>
    <row r="149" spans="1:11" x14ac:dyDescent="0.3">
      <c r="A149" t="s">
        <v>269</v>
      </c>
      <c r="B149">
        <v>16</v>
      </c>
      <c r="C149">
        <v>1</v>
      </c>
      <c r="D149">
        <v>2026</v>
      </c>
      <c r="E149" t="s">
        <v>19</v>
      </c>
      <c r="F149" t="s">
        <v>12</v>
      </c>
      <c r="G149" t="s">
        <v>13</v>
      </c>
      <c r="H149" t="s">
        <v>28</v>
      </c>
      <c r="I149">
        <v>36976</v>
      </c>
      <c r="J149" t="s">
        <v>25</v>
      </c>
      <c r="K149" t="s">
        <v>16</v>
      </c>
    </row>
    <row r="150" spans="1:11" x14ac:dyDescent="0.3">
      <c r="A150" t="s">
        <v>270</v>
      </c>
      <c r="B150">
        <v>2</v>
      </c>
      <c r="C150">
        <v>2</v>
      </c>
      <c r="D150">
        <v>2026</v>
      </c>
      <c r="E150" t="s">
        <v>19</v>
      </c>
      <c r="F150" t="s">
        <v>38</v>
      </c>
      <c r="G150" t="s">
        <v>44</v>
      </c>
      <c r="H150" t="s">
        <v>39</v>
      </c>
      <c r="I150">
        <v>16461</v>
      </c>
      <c r="J150" t="s">
        <v>130</v>
      </c>
      <c r="K150" t="s">
        <v>16</v>
      </c>
    </row>
    <row r="151" spans="1:11" x14ac:dyDescent="0.3">
      <c r="A151" t="s">
        <v>271</v>
      </c>
      <c r="B151">
        <v>19</v>
      </c>
      <c r="C151">
        <v>2</v>
      </c>
      <c r="D151">
        <v>2026</v>
      </c>
      <c r="E151" t="s">
        <v>11</v>
      </c>
      <c r="F151" t="s">
        <v>20</v>
      </c>
      <c r="G151" t="s">
        <v>13</v>
      </c>
      <c r="H151" t="s">
        <v>14</v>
      </c>
      <c r="I151">
        <v>30686</v>
      </c>
      <c r="J151" t="s">
        <v>93</v>
      </c>
      <c r="K151" t="s">
        <v>30</v>
      </c>
    </row>
    <row r="152" spans="1:11" x14ac:dyDescent="0.3">
      <c r="A152" t="s">
        <v>272</v>
      </c>
      <c r="B152">
        <v>28</v>
      </c>
      <c r="C152">
        <v>1</v>
      </c>
      <c r="D152">
        <v>2026</v>
      </c>
      <c r="E152" t="s">
        <v>11</v>
      </c>
      <c r="F152" t="s">
        <v>26</v>
      </c>
      <c r="G152" t="s">
        <v>27</v>
      </c>
      <c r="H152" t="s">
        <v>14</v>
      </c>
      <c r="I152">
        <v>22996</v>
      </c>
      <c r="J152" t="s">
        <v>29</v>
      </c>
      <c r="K152" t="s">
        <v>23</v>
      </c>
    </row>
    <row r="153" spans="1:11" x14ac:dyDescent="0.3">
      <c r="A153" t="s">
        <v>273</v>
      </c>
      <c r="B153">
        <v>3</v>
      </c>
      <c r="C153">
        <v>2</v>
      </c>
      <c r="D153">
        <v>2026</v>
      </c>
      <c r="E153" t="s">
        <v>60</v>
      </c>
      <c r="F153" t="s">
        <v>20</v>
      </c>
      <c r="G153" t="s">
        <v>27</v>
      </c>
      <c r="H153" t="s">
        <v>39</v>
      </c>
      <c r="I153">
        <v>79295</v>
      </c>
      <c r="J153" t="s">
        <v>91</v>
      </c>
      <c r="K153" t="s">
        <v>16</v>
      </c>
    </row>
    <row r="154" spans="1:11" x14ac:dyDescent="0.3">
      <c r="A154" t="s">
        <v>274</v>
      </c>
      <c r="B154">
        <v>13</v>
      </c>
      <c r="C154">
        <v>3</v>
      </c>
      <c r="D154">
        <v>2026</v>
      </c>
      <c r="E154" t="s">
        <v>19</v>
      </c>
      <c r="F154" t="s">
        <v>20</v>
      </c>
      <c r="G154" t="s">
        <v>21</v>
      </c>
      <c r="H154" t="s">
        <v>28</v>
      </c>
      <c r="I154">
        <v>63320</v>
      </c>
      <c r="J154" t="s">
        <v>112</v>
      </c>
      <c r="K154" t="s">
        <v>23</v>
      </c>
    </row>
    <row r="155" spans="1:11" x14ac:dyDescent="0.3">
      <c r="A155" t="s">
        <v>275</v>
      </c>
      <c r="B155">
        <v>3</v>
      </c>
      <c r="C155">
        <v>2</v>
      </c>
      <c r="D155">
        <v>2026</v>
      </c>
      <c r="E155" t="s">
        <v>60</v>
      </c>
      <c r="F155" t="s">
        <v>26</v>
      </c>
      <c r="G155" t="s">
        <v>21</v>
      </c>
      <c r="H155" t="s">
        <v>629</v>
      </c>
      <c r="I155">
        <v>27410</v>
      </c>
      <c r="J155" t="s">
        <v>77</v>
      </c>
      <c r="K155" t="s">
        <v>16</v>
      </c>
    </row>
    <row r="156" spans="1:11" x14ac:dyDescent="0.3">
      <c r="A156" t="s">
        <v>276</v>
      </c>
      <c r="B156">
        <v>8</v>
      </c>
      <c r="C156">
        <v>3</v>
      </c>
      <c r="D156">
        <v>2026</v>
      </c>
      <c r="E156" t="s">
        <v>37</v>
      </c>
      <c r="F156" t="s">
        <v>12</v>
      </c>
      <c r="G156" t="s">
        <v>27</v>
      </c>
      <c r="H156" t="s">
        <v>629</v>
      </c>
      <c r="I156">
        <v>10278</v>
      </c>
      <c r="J156" t="s">
        <v>65</v>
      </c>
      <c r="K156" t="s">
        <v>41</v>
      </c>
    </row>
    <row r="157" spans="1:11" x14ac:dyDescent="0.3">
      <c r="A157" t="s">
        <v>277</v>
      </c>
      <c r="B157">
        <v>7</v>
      </c>
      <c r="C157">
        <v>3</v>
      </c>
      <c r="D157">
        <v>2026</v>
      </c>
      <c r="E157" t="s">
        <v>37</v>
      </c>
      <c r="F157" t="s">
        <v>38</v>
      </c>
      <c r="G157" t="s">
        <v>44</v>
      </c>
      <c r="H157" t="s">
        <v>61</v>
      </c>
      <c r="I157">
        <v>58756</v>
      </c>
      <c r="J157" t="s">
        <v>192</v>
      </c>
      <c r="K157" t="s">
        <v>23</v>
      </c>
    </row>
    <row r="158" spans="1:11" x14ac:dyDescent="0.3">
      <c r="A158" t="s">
        <v>278</v>
      </c>
      <c r="B158">
        <v>18</v>
      </c>
      <c r="C158">
        <v>3</v>
      </c>
      <c r="D158">
        <v>2026</v>
      </c>
      <c r="E158" t="s">
        <v>11</v>
      </c>
      <c r="F158" t="s">
        <v>38</v>
      </c>
      <c r="G158" t="s">
        <v>27</v>
      </c>
      <c r="H158" t="s">
        <v>629</v>
      </c>
      <c r="I158">
        <v>23805</v>
      </c>
      <c r="J158" t="s">
        <v>99</v>
      </c>
      <c r="K158" t="s">
        <v>23</v>
      </c>
    </row>
    <row r="159" spans="1:11" x14ac:dyDescent="0.3">
      <c r="A159" t="s">
        <v>279</v>
      </c>
      <c r="B159">
        <v>15</v>
      </c>
      <c r="C159">
        <v>1</v>
      </c>
      <c r="D159">
        <v>2026</v>
      </c>
      <c r="E159" t="s">
        <v>11</v>
      </c>
      <c r="F159" t="s">
        <v>12</v>
      </c>
      <c r="G159" t="s">
        <v>21</v>
      </c>
      <c r="H159" t="s">
        <v>14</v>
      </c>
      <c r="I159">
        <v>75586</v>
      </c>
      <c r="J159" t="s">
        <v>141</v>
      </c>
      <c r="K159" t="s">
        <v>41</v>
      </c>
    </row>
    <row r="160" spans="1:11" x14ac:dyDescent="0.3">
      <c r="A160" t="s">
        <v>280</v>
      </c>
      <c r="B160">
        <v>25</v>
      </c>
      <c r="C160">
        <v>2</v>
      </c>
      <c r="D160">
        <v>2026</v>
      </c>
      <c r="E160" t="s">
        <v>33</v>
      </c>
      <c r="F160" t="s">
        <v>38</v>
      </c>
      <c r="G160" t="s">
        <v>21</v>
      </c>
      <c r="H160" t="s">
        <v>61</v>
      </c>
      <c r="I160">
        <v>64278</v>
      </c>
      <c r="J160" t="s">
        <v>127</v>
      </c>
      <c r="K160" t="s">
        <v>16</v>
      </c>
    </row>
    <row r="161" spans="1:11" x14ac:dyDescent="0.3">
      <c r="A161" t="s">
        <v>281</v>
      </c>
      <c r="B161">
        <v>7</v>
      </c>
      <c r="C161">
        <v>2</v>
      </c>
      <c r="D161">
        <v>2026</v>
      </c>
      <c r="E161" t="s">
        <v>37</v>
      </c>
      <c r="F161" t="s">
        <v>20</v>
      </c>
      <c r="G161" t="s">
        <v>27</v>
      </c>
      <c r="H161" t="s">
        <v>629</v>
      </c>
      <c r="I161">
        <v>64689</v>
      </c>
      <c r="J161" t="s">
        <v>77</v>
      </c>
      <c r="K161" t="s">
        <v>16</v>
      </c>
    </row>
    <row r="162" spans="1:11" x14ac:dyDescent="0.3">
      <c r="A162" t="s">
        <v>282</v>
      </c>
      <c r="B162">
        <v>6</v>
      </c>
      <c r="C162">
        <v>1</v>
      </c>
      <c r="D162">
        <v>2026</v>
      </c>
      <c r="E162" t="s">
        <v>33</v>
      </c>
      <c r="F162" t="s">
        <v>12</v>
      </c>
      <c r="G162" t="s">
        <v>44</v>
      </c>
      <c r="H162" t="s">
        <v>629</v>
      </c>
      <c r="I162">
        <v>42572</v>
      </c>
      <c r="J162" t="s">
        <v>155</v>
      </c>
      <c r="K162" t="s">
        <v>41</v>
      </c>
    </row>
    <row r="163" spans="1:11" x14ac:dyDescent="0.3">
      <c r="A163" t="s">
        <v>283</v>
      </c>
      <c r="B163">
        <v>23</v>
      </c>
      <c r="C163">
        <v>1</v>
      </c>
      <c r="D163">
        <v>2026</v>
      </c>
      <c r="E163" t="s">
        <v>37</v>
      </c>
      <c r="F163" t="s">
        <v>20</v>
      </c>
      <c r="G163" t="s">
        <v>13</v>
      </c>
      <c r="H163" t="s">
        <v>629</v>
      </c>
      <c r="I163">
        <v>57247</v>
      </c>
      <c r="J163" t="s">
        <v>15</v>
      </c>
      <c r="K163" t="s">
        <v>41</v>
      </c>
    </row>
    <row r="164" spans="1:11" x14ac:dyDescent="0.3">
      <c r="A164" t="s">
        <v>284</v>
      </c>
      <c r="B164">
        <v>23</v>
      </c>
      <c r="C164">
        <v>2</v>
      </c>
      <c r="D164">
        <v>2026</v>
      </c>
      <c r="E164" t="s">
        <v>19</v>
      </c>
      <c r="F164" t="s">
        <v>26</v>
      </c>
      <c r="G164" t="s">
        <v>21</v>
      </c>
      <c r="H164" t="s">
        <v>629</v>
      </c>
      <c r="I164">
        <v>39682</v>
      </c>
      <c r="J164" t="s">
        <v>119</v>
      </c>
      <c r="K164" t="s">
        <v>16</v>
      </c>
    </row>
    <row r="165" spans="1:11" x14ac:dyDescent="0.3">
      <c r="A165" t="s">
        <v>285</v>
      </c>
      <c r="B165">
        <v>9</v>
      </c>
      <c r="C165">
        <v>2</v>
      </c>
      <c r="D165">
        <v>2026</v>
      </c>
      <c r="E165" t="s">
        <v>19</v>
      </c>
      <c r="F165" t="s">
        <v>12</v>
      </c>
      <c r="G165" t="s">
        <v>21</v>
      </c>
      <c r="H165" t="s">
        <v>629</v>
      </c>
      <c r="I165">
        <v>48950</v>
      </c>
      <c r="J165" t="s">
        <v>198</v>
      </c>
      <c r="K165" t="s">
        <v>23</v>
      </c>
    </row>
    <row r="166" spans="1:11" x14ac:dyDescent="0.3">
      <c r="A166" t="s">
        <v>286</v>
      </c>
      <c r="B166">
        <v>28</v>
      </c>
      <c r="C166">
        <v>2</v>
      </c>
      <c r="D166">
        <v>2026</v>
      </c>
      <c r="E166" t="s">
        <v>33</v>
      </c>
      <c r="F166" t="s">
        <v>38</v>
      </c>
      <c r="G166" t="s">
        <v>21</v>
      </c>
      <c r="H166" t="s">
        <v>14</v>
      </c>
      <c r="I166">
        <v>8275</v>
      </c>
      <c r="J166" t="s">
        <v>192</v>
      </c>
      <c r="K166" t="s">
        <v>16</v>
      </c>
    </row>
    <row r="167" spans="1:11" x14ac:dyDescent="0.3">
      <c r="A167" t="s">
        <v>287</v>
      </c>
      <c r="B167">
        <v>15</v>
      </c>
      <c r="C167">
        <v>1</v>
      </c>
      <c r="D167">
        <v>2026</v>
      </c>
      <c r="E167" t="s">
        <v>11</v>
      </c>
      <c r="F167" t="s">
        <v>20</v>
      </c>
      <c r="G167" t="s">
        <v>21</v>
      </c>
      <c r="H167" t="s">
        <v>14</v>
      </c>
      <c r="I167">
        <v>44009</v>
      </c>
      <c r="J167" t="s">
        <v>153</v>
      </c>
      <c r="K167" t="s">
        <v>23</v>
      </c>
    </row>
    <row r="168" spans="1:11" x14ac:dyDescent="0.3">
      <c r="A168" t="s">
        <v>288</v>
      </c>
      <c r="B168">
        <v>2</v>
      </c>
      <c r="C168">
        <v>3</v>
      </c>
      <c r="D168">
        <v>2026</v>
      </c>
      <c r="E168" t="s">
        <v>37</v>
      </c>
      <c r="F168" t="s">
        <v>38</v>
      </c>
      <c r="G168" t="s">
        <v>21</v>
      </c>
      <c r="H168" t="s">
        <v>28</v>
      </c>
      <c r="I168">
        <v>27860</v>
      </c>
      <c r="J168" t="s">
        <v>54</v>
      </c>
      <c r="K168" t="s">
        <v>16</v>
      </c>
    </row>
    <row r="169" spans="1:11" x14ac:dyDescent="0.3">
      <c r="A169" t="s">
        <v>289</v>
      </c>
      <c r="B169">
        <v>31</v>
      </c>
      <c r="C169">
        <v>3</v>
      </c>
      <c r="D169">
        <v>2026</v>
      </c>
      <c r="E169" t="s">
        <v>19</v>
      </c>
      <c r="F169" t="s">
        <v>26</v>
      </c>
      <c r="G169" t="s">
        <v>21</v>
      </c>
      <c r="H169" t="s">
        <v>14</v>
      </c>
      <c r="I169">
        <v>6811</v>
      </c>
      <c r="J169" t="s">
        <v>268</v>
      </c>
      <c r="K169" t="s">
        <v>41</v>
      </c>
    </row>
    <row r="170" spans="1:11" x14ac:dyDescent="0.3">
      <c r="A170" t="s">
        <v>290</v>
      </c>
      <c r="B170">
        <v>19</v>
      </c>
      <c r="C170">
        <v>2</v>
      </c>
      <c r="D170">
        <v>2026</v>
      </c>
      <c r="E170" t="s">
        <v>60</v>
      </c>
      <c r="F170" t="s">
        <v>12</v>
      </c>
      <c r="G170" t="s">
        <v>21</v>
      </c>
      <c r="H170" t="s">
        <v>629</v>
      </c>
      <c r="I170">
        <v>57492</v>
      </c>
      <c r="J170" t="s">
        <v>126</v>
      </c>
      <c r="K170" t="s">
        <v>41</v>
      </c>
    </row>
    <row r="171" spans="1:11" x14ac:dyDescent="0.3">
      <c r="A171" t="s">
        <v>291</v>
      </c>
      <c r="B171">
        <v>12</v>
      </c>
      <c r="C171">
        <v>1</v>
      </c>
      <c r="D171">
        <v>2026</v>
      </c>
      <c r="E171" t="s">
        <v>37</v>
      </c>
      <c r="F171" t="s">
        <v>20</v>
      </c>
      <c r="G171" t="s">
        <v>21</v>
      </c>
      <c r="H171" t="s">
        <v>14</v>
      </c>
      <c r="I171">
        <v>41683</v>
      </c>
      <c r="J171" t="s">
        <v>153</v>
      </c>
      <c r="K171" t="s">
        <v>23</v>
      </c>
    </row>
    <row r="172" spans="1:11" x14ac:dyDescent="0.3">
      <c r="A172" t="s">
        <v>292</v>
      </c>
      <c r="B172">
        <v>14</v>
      </c>
      <c r="C172">
        <v>1</v>
      </c>
      <c r="D172">
        <v>2026</v>
      </c>
      <c r="E172" t="s">
        <v>11</v>
      </c>
      <c r="F172" t="s">
        <v>12</v>
      </c>
      <c r="G172" t="s">
        <v>27</v>
      </c>
      <c r="H172" t="s">
        <v>14</v>
      </c>
      <c r="I172">
        <v>50743</v>
      </c>
      <c r="J172" t="s">
        <v>224</v>
      </c>
      <c r="K172" t="s">
        <v>16</v>
      </c>
    </row>
    <row r="173" spans="1:11" x14ac:dyDescent="0.3">
      <c r="A173" t="s">
        <v>293</v>
      </c>
      <c r="B173">
        <v>12</v>
      </c>
      <c r="C173">
        <v>2</v>
      </c>
      <c r="D173">
        <v>2026</v>
      </c>
      <c r="E173" t="s">
        <v>60</v>
      </c>
      <c r="F173" t="s">
        <v>12</v>
      </c>
      <c r="G173" t="s">
        <v>13</v>
      </c>
      <c r="H173" t="s">
        <v>14</v>
      </c>
      <c r="I173">
        <v>48208</v>
      </c>
      <c r="J173" t="s">
        <v>190</v>
      </c>
      <c r="K173" t="s">
        <v>23</v>
      </c>
    </row>
    <row r="174" spans="1:11" x14ac:dyDescent="0.3">
      <c r="A174" t="s">
        <v>294</v>
      </c>
      <c r="B174">
        <v>26</v>
      </c>
      <c r="C174">
        <v>3</v>
      </c>
      <c r="D174">
        <v>2026</v>
      </c>
      <c r="E174" t="s">
        <v>37</v>
      </c>
      <c r="F174" t="s">
        <v>12</v>
      </c>
      <c r="G174" t="s">
        <v>21</v>
      </c>
      <c r="H174" t="s">
        <v>629</v>
      </c>
      <c r="I174">
        <v>44221</v>
      </c>
      <c r="J174" t="s">
        <v>213</v>
      </c>
      <c r="K174" t="s">
        <v>23</v>
      </c>
    </row>
    <row r="175" spans="1:11" x14ac:dyDescent="0.3">
      <c r="A175" t="s">
        <v>295</v>
      </c>
      <c r="B175">
        <v>11</v>
      </c>
      <c r="C175">
        <v>1</v>
      </c>
      <c r="D175">
        <v>2026</v>
      </c>
      <c r="E175" t="s">
        <v>33</v>
      </c>
      <c r="F175" t="s">
        <v>26</v>
      </c>
      <c r="G175" t="s">
        <v>27</v>
      </c>
      <c r="H175" t="s">
        <v>28</v>
      </c>
      <c r="I175">
        <v>57009</v>
      </c>
      <c r="J175" t="s">
        <v>153</v>
      </c>
      <c r="K175" t="s">
        <v>30</v>
      </c>
    </row>
    <row r="176" spans="1:11" x14ac:dyDescent="0.3">
      <c r="A176" t="s">
        <v>296</v>
      </c>
      <c r="B176">
        <v>3</v>
      </c>
      <c r="C176">
        <v>1</v>
      </c>
      <c r="D176">
        <v>2026</v>
      </c>
      <c r="E176" t="s">
        <v>33</v>
      </c>
      <c r="F176" t="s">
        <v>20</v>
      </c>
      <c r="G176" t="s">
        <v>27</v>
      </c>
      <c r="H176" t="s">
        <v>28</v>
      </c>
      <c r="I176">
        <v>52672</v>
      </c>
      <c r="J176" t="s">
        <v>297</v>
      </c>
      <c r="K176" t="s">
        <v>23</v>
      </c>
    </row>
    <row r="177" spans="1:11" x14ac:dyDescent="0.3">
      <c r="A177" t="s">
        <v>298</v>
      </c>
      <c r="B177">
        <v>27</v>
      </c>
      <c r="C177">
        <v>3</v>
      </c>
      <c r="D177">
        <v>2026</v>
      </c>
      <c r="E177" t="s">
        <v>19</v>
      </c>
      <c r="F177" t="s">
        <v>38</v>
      </c>
      <c r="G177" t="s">
        <v>21</v>
      </c>
      <c r="H177" t="s">
        <v>14</v>
      </c>
      <c r="I177">
        <v>52858</v>
      </c>
      <c r="J177" t="s">
        <v>36</v>
      </c>
      <c r="K177" t="s">
        <v>23</v>
      </c>
    </row>
    <row r="178" spans="1:11" x14ac:dyDescent="0.3">
      <c r="A178" t="s">
        <v>299</v>
      </c>
      <c r="B178">
        <v>14</v>
      </c>
      <c r="C178">
        <v>2</v>
      </c>
      <c r="D178">
        <v>2026</v>
      </c>
      <c r="E178" t="s">
        <v>37</v>
      </c>
      <c r="F178" t="s">
        <v>38</v>
      </c>
      <c r="G178" t="s">
        <v>21</v>
      </c>
      <c r="H178" t="s">
        <v>61</v>
      </c>
      <c r="I178">
        <v>48274</v>
      </c>
      <c r="J178" t="s">
        <v>45</v>
      </c>
      <c r="K178" t="s">
        <v>41</v>
      </c>
    </row>
    <row r="179" spans="1:11" x14ac:dyDescent="0.3">
      <c r="A179" t="s">
        <v>300</v>
      </c>
      <c r="B179">
        <v>31</v>
      </c>
      <c r="C179">
        <v>3</v>
      </c>
      <c r="D179">
        <v>2026</v>
      </c>
      <c r="E179" t="s">
        <v>33</v>
      </c>
      <c r="F179" t="s">
        <v>20</v>
      </c>
      <c r="G179" t="s">
        <v>44</v>
      </c>
      <c r="H179" t="s">
        <v>629</v>
      </c>
      <c r="I179">
        <v>70855</v>
      </c>
      <c r="J179" t="s">
        <v>213</v>
      </c>
      <c r="K179" t="s">
        <v>23</v>
      </c>
    </row>
    <row r="180" spans="1:11" x14ac:dyDescent="0.3">
      <c r="A180" t="s">
        <v>301</v>
      </c>
      <c r="B180">
        <v>1</v>
      </c>
      <c r="C180">
        <v>1</v>
      </c>
      <c r="D180">
        <v>2026</v>
      </c>
      <c r="E180" t="s">
        <v>11</v>
      </c>
      <c r="F180" t="s">
        <v>12</v>
      </c>
      <c r="G180" t="s">
        <v>27</v>
      </c>
      <c r="H180" t="s">
        <v>629</v>
      </c>
      <c r="I180">
        <v>37557</v>
      </c>
      <c r="J180" t="s">
        <v>238</v>
      </c>
      <c r="K180" t="s">
        <v>41</v>
      </c>
    </row>
    <row r="181" spans="1:11" x14ac:dyDescent="0.3">
      <c r="A181" t="s">
        <v>302</v>
      </c>
      <c r="B181">
        <v>11</v>
      </c>
      <c r="C181">
        <v>3</v>
      </c>
      <c r="D181">
        <v>2026</v>
      </c>
      <c r="E181" t="s">
        <v>37</v>
      </c>
      <c r="F181" t="s">
        <v>26</v>
      </c>
      <c r="G181" t="s">
        <v>21</v>
      </c>
      <c r="H181" t="s">
        <v>61</v>
      </c>
      <c r="I181">
        <v>37068</v>
      </c>
      <c r="J181" t="s">
        <v>132</v>
      </c>
      <c r="K181" t="s">
        <v>30</v>
      </c>
    </row>
    <row r="182" spans="1:11" x14ac:dyDescent="0.3">
      <c r="A182" t="s">
        <v>303</v>
      </c>
      <c r="B182">
        <v>17</v>
      </c>
      <c r="C182">
        <v>1</v>
      </c>
      <c r="D182">
        <v>2026</v>
      </c>
      <c r="E182" t="s">
        <v>60</v>
      </c>
      <c r="F182" t="s">
        <v>20</v>
      </c>
      <c r="G182" t="s">
        <v>44</v>
      </c>
      <c r="H182" t="s">
        <v>61</v>
      </c>
      <c r="I182">
        <v>70895</v>
      </c>
      <c r="J182" t="s">
        <v>229</v>
      </c>
      <c r="K182" t="s">
        <v>23</v>
      </c>
    </row>
    <row r="183" spans="1:11" x14ac:dyDescent="0.3">
      <c r="A183" t="s">
        <v>304</v>
      </c>
      <c r="B183">
        <v>22</v>
      </c>
      <c r="C183">
        <v>2</v>
      </c>
      <c r="D183">
        <v>2026</v>
      </c>
      <c r="E183" t="s">
        <v>60</v>
      </c>
      <c r="F183" t="s">
        <v>20</v>
      </c>
      <c r="G183" t="s">
        <v>27</v>
      </c>
      <c r="H183" t="s">
        <v>629</v>
      </c>
      <c r="I183">
        <v>75419</v>
      </c>
      <c r="J183" t="s">
        <v>240</v>
      </c>
      <c r="K183" t="s">
        <v>41</v>
      </c>
    </row>
    <row r="184" spans="1:11" x14ac:dyDescent="0.3">
      <c r="A184" t="s">
        <v>305</v>
      </c>
      <c r="B184">
        <v>25</v>
      </c>
      <c r="C184">
        <v>2</v>
      </c>
      <c r="D184">
        <v>2026</v>
      </c>
      <c r="E184" t="s">
        <v>33</v>
      </c>
      <c r="F184" t="s">
        <v>12</v>
      </c>
      <c r="G184" t="s">
        <v>21</v>
      </c>
      <c r="H184" t="s">
        <v>629</v>
      </c>
      <c r="I184">
        <v>28051</v>
      </c>
      <c r="J184" t="s">
        <v>240</v>
      </c>
      <c r="K184" t="s">
        <v>16</v>
      </c>
    </row>
    <row r="185" spans="1:11" x14ac:dyDescent="0.3">
      <c r="A185" t="s">
        <v>306</v>
      </c>
      <c r="B185">
        <v>8</v>
      </c>
      <c r="C185">
        <v>1</v>
      </c>
      <c r="D185">
        <v>2026</v>
      </c>
      <c r="E185" t="s">
        <v>33</v>
      </c>
      <c r="F185" t="s">
        <v>26</v>
      </c>
      <c r="G185" t="s">
        <v>21</v>
      </c>
      <c r="H185" t="s">
        <v>14</v>
      </c>
      <c r="I185">
        <v>21049</v>
      </c>
      <c r="J185" t="s">
        <v>155</v>
      </c>
      <c r="K185" t="s">
        <v>41</v>
      </c>
    </row>
    <row r="186" spans="1:11" x14ac:dyDescent="0.3">
      <c r="A186" t="s">
        <v>307</v>
      </c>
      <c r="B186">
        <v>20</v>
      </c>
      <c r="C186">
        <v>1</v>
      </c>
      <c r="D186">
        <v>2026</v>
      </c>
      <c r="E186" t="s">
        <v>33</v>
      </c>
      <c r="F186" t="s">
        <v>26</v>
      </c>
      <c r="G186" t="s">
        <v>44</v>
      </c>
      <c r="H186" t="s">
        <v>14</v>
      </c>
      <c r="I186">
        <v>56248</v>
      </c>
      <c r="J186" t="s">
        <v>15</v>
      </c>
      <c r="K186" t="s">
        <v>16</v>
      </c>
    </row>
    <row r="187" spans="1:11" x14ac:dyDescent="0.3">
      <c r="A187" t="s">
        <v>308</v>
      </c>
      <c r="B187">
        <v>24</v>
      </c>
      <c r="C187">
        <v>1</v>
      </c>
      <c r="D187">
        <v>2026</v>
      </c>
      <c r="E187" t="s">
        <v>33</v>
      </c>
      <c r="F187" t="s">
        <v>38</v>
      </c>
      <c r="G187" t="s">
        <v>13</v>
      </c>
      <c r="H187" t="s">
        <v>39</v>
      </c>
      <c r="I187">
        <v>68365</v>
      </c>
      <c r="J187" t="s">
        <v>129</v>
      </c>
      <c r="K187" t="s">
        <v>23</v>
      </c>
    </row>
    <row r="188" spans="1:11" x14ac:dyDescent="0.3">
      <c r="A188" t="s">
        <v>309</v>
      </c>
      <c r="B188">
        <v>15</v>
      </c>
      <c r="C188">
        <v>3</v>
      </c>
      <c r="D188">
        <v>2026</v>
      </c>
      <c r="E188" t="s">
        <v>37</v>
      </c>
      <c r="F188" t="s">
        <v>26</v>
      </c>
      <c r="G188" t="s">
        <v>27</v>
      </c>
      <c r="H188" t="s">
        <v>28</v>
      </c>
      <c r="I188">
        <v>34785</v>
      </c>
      <c r="J188" t="s">
        <v>86</v>
      </c>
      <c r="K188" t="s">
        <v>41</v>
      </c>
    </row>
    <row r="189" spans="1:11" x14ac:dyDescent="0.3">
      <c r="A189" t="s">
        <v>310</v>
      </c>
      <c r="B189">
        <v>30</v>
      </c>
      <c r="C189">
        <v>1</v>
      </c>
      <c r="D189">
        <v>2026</v>
      </c>
      <c r="E189" t="s">
        <v>37</v>
      </c>
      <c r="F189" t="s">
        <v>38</v>
      </c>
      <c r="G189" t="s">
        <v>44</v>
      </c>
      <c r="H189" t="s">
        <v>61</v>
      </c>
      <c r="I189">
        <v>47215</v>
      </c>
      <c r="J189" t="s">
        <v>29</v>
      </c>
      <c r="K189" t="s">
        <v>30</v>
      </c>
    </row>
    <row r="190" spans="1:11" x14ac:dyDescent="0.3">
      <c r="A190" t="s">
        <v>311</v>
      </c>
      <c r="B190">
        <v>15</v>
      </c>
      <c r="C190">
        <v>3</v>
      </c>
      <c r="D190">
        <v>2026</v>
      </c>
      <c r="E190" t="s">
        <v>37</v>
      </c>
      <c r="F190" t="s">
        <v>26</v>
      </c>
      <c r="G190" t="s">
        <v>13</v>
      </c>
      <c r="H190" t="s">
        <v>629</v>
      </c>
      <c r="I190">
        <v>59351</v>
      </c>
      <c r="J190" t="s">
        <v>110</v>
      </c>
      <c r="K190" t="s">
        <v>41</v>
      </c>
    </row>
    <row r="191" spans="1:11" x14ac:dyDescent="0.3">
      <c r="A191" t="s">
        <v>312</v>
      </c>
      <c r="B191">
        <v>12</v>
      </c>
      <c r="C191">
        <v>3</v>
      </c>
      <c r="D191">
        <v>2026</v>
      </c>
      <c r="E191" t="s">
        <v>19</v>
      </c>
      <c r="F191" t="s">
        <v>26</v>
      </c>
      <c r="G191" t="s">
        <v>21</v>
      </c>
      <c r="H191" t="s">
        <v>61</v>
      </c>
      <c r="I191">
        <v>18801</v>
      </c>
      <c r="J191" t="s">
        <v>57</v>
      </c>
      <c r="K191" t="s">
        <v>30</v>
      </c>
    </row>
    <row r="192" spans="1:11" x14ac:dyDescent="0.3">
      <c r="A192" t="s">
        <v>313</v>
      </c>
      <c r="B192">
        <v>13</v>
      </c>
      <c r="C192">
        <v>2</v>
      </c>
      <c r="D192">
        <v>2026</v>
      </c>
      <c r="E192" t="s">
        <v>37</v>
      </c>
      <c r="F192" t="s">
        <v>12</v>
      </c>
      <c r="G192" t="s">
        <v>13</v>
      </c>
      <c r="H192" t="s">
        <v>28</v>
      </c>
      <c r="I192">
        <v>52866</v>
      </c>
      <c r="J192" t="s">
        <v>50</v>
      </c>
      <c r="K192" t="s">
        <v>30</v>
      </c>
    </row>
    <row r="193" spans="1:11" x14ac:dyDescent="0.3">
      <c r="A193" t="s">
        <v>314</v>
      </c>
      <c r="B193">
        <v>1</v>
      </c>
      <c r="C193">
        <v>1</v>
      </c>
      <c r="D193">
        <v>2026</v>
      </c>
      <c r="E193" t="s">
        <v>19</v>
      </c>
      <c r="F193" t="s">
        <v>12</v>
      </c>
      <c r="G193" t="s">
        <v>13</v>
      </c>
      <c r="H193" t="s">
        <v>28</v>
      </c>
      <c r="I193">
        <v>59939</v>
      </c>
      <c r="J193" t="s">
        <v>195</v>
      </c>
      <c r="K193" t="s">
        <v>23</v>
      </c>
    </row>
    <row r="194" spans="1:11" x14ac:dyDescent="0.3">
      <c r="A194" t="s">
        <v>315</v>
      </c>
      <c r="B194">
        <v>26</v>
      </c>
      <c r="C194">
        <v>1</v>
      </c>
      <c r="D194">
        <v>2026</v>
      </c>
      <c r="E194" t="s">
        <v>33</v>
      </c>
      <c r="F194" t="s">
        <v>20</v>
      </c>
      <c r="G194" t="s">
        <v>27</v>
      </c>
      <c r="H194" t="s">
        <v>28</v>
      </c>
      <c r="I194">
        <v>13375</v>
      </c>
      <c r="J194" t="s">
        <v>166</v>
      </c>
      <c r="K194" t="s">
        <v>41</v>
      </c>
    </row>
    <row r="195" spans="1:11" x14ac:dyDescent="0.3">
      <c r="A195" t="s">
        <v>316</v>
      </c>
      <c r="B195">
        <v>1</v>
      </c>
      <c r="C195">
        <v>4</v>
      </c>
      <c r="D195">
        <v>2026</v>
      </c>
      <c r="E195" t="s">
        <v>19</v>
      </c>
      <c r="F195" t="s">
        <v>26</v>
      </c>
      <c r="G195" t="s">
        <v>13</v>
      </c>
      <c r="H195" t="s">
        <v>14</v>
      </c>
      <c r="I195">
        <v>51869</v>
      </c>
      <c r="J195" t="s">
        <v>262</v>
      </c>
      <c r="K195" t="s">
        <v>30</v>
      </c>
    </row>
    <row r="196" spans="1:11" x14ac:dyDescent="0.3">
      <c r="A196" t="s">
        <v>317</v>
      </c>
      <c r="B196">
        <v>29</v>
      </c>
      <c r="C196">
        <v>1</v>
      </c>
      <c r="D196">
        <v>2026</v>
      </c>
      <c r="E196" t="s">
        <v>60</v>
      </c>
      <c r="F196" t="s">
        <v>20</v>
      </c>
      <c r="G196" t="s">
        <v>21</v>
      </c>
      <c r="H196" t="s">
        <v>14</v>
      </c>
      <c r="I196">
        <v>28529</v>
      </c>
      <c r="J196" t="s">
        <v>106</v>
      </c>
      <c r="K196" t="s">
        <v>16</v>
      </c>
    </row>
    <row r="197" spans="1:11" x14ac:dyDescent="0.3">
      <c r="A197" t="s">
        <v>318</v>
      </c>
      <c r="B197">
        <v>17</v>
      </c>
      <c r="C197">
        <v>1</v>
      </c>
      <c r="D197">
        <v>2026</v>
      </c>
      <c r="E197" t="s">
        <v>11</v>
      </c>
      <c r="F197" t="s">
        <v>20</v>
      </c>
      <c r="G197" t="s">
        <v>13</v>
      </c>
      <c r="H197" t="s">
        <v>629</v>
      </c>
      <c r="I197">
        <v>35100</v>
      </c>
      <c r="J197" t="s">
        <v>79</v>
      </c>
      <c r="K197" t="s">
        <v>16</v>
      </c>
    </row>
    <row r="198" spans="1:11" x14ac:dyDescent="0.3">
      <c r="A198" t="s">
        <v>319</v>
      </c>
      <c r="B198">
        <v>20</v>
      </c>
      <c r="C198">
        <v>2</v>
      </c>
      <c r="D198">
        <v>2026</v>
      </c>
      <c r="E198" t="s">
        <v>60</v>
      </c>
      <c r="F198" t="s">
        <v>20</v>
      </c>
      <c r="G198" t="s">
        <v>27</v>
      </c>
      <c r="H198" t="s">
        <v>629</v>
      </c>
      <c r="I198">
        <v>55520</v>
      </c>
      <c r="J198" t="s">
        <v>93</v>
      </c>
      <c r="K198" t="s">
        <v>30</v>
      </c>
    </row>
    <row r="199" spans="1:11" x14ac:dyDescent="0.3">
      <c r="A199" t="s">
        <v>320</v>
      </c>
      <c r="B199">
        <v>4</v>
      </c>
      <c r="C199">
        <v>2</v>
      </c>
      <c r="D199">
        <v>2026</v>
      </c>
      <c r="E199" t="s">
        <v>37</v>
      </c>
      <c r="F199" t="s">
        <v>12</v>
      </c>
      <c r="G199" t="s">
        <v>44</v>
      </c>
      <c r="H199" t="s">
        <v>14</v>
      </c>
      <c r="I199">
        <v>24714</v>
      </c>
      <c r="J199" t="s">
        <v>47</v>
      </c>
      <c r="K199" t="s">
        <v>30</v>
      </c>
    </row>
    <row r="200" spans="1:11" x14ac:dyDescent="0.3">
      <c r="A200" t="s">
        <v>321</v>
      </c>
      <c r="B200">
        <v>30</v>
      </c>
      <c r="C200">
        <v>3</v>
      </c>
      <c r="D200">
        <v>2026</v>
      </c>
      <c r="E200" t="s">
        <v>33</v>
      </c>
      <c r="F200" t="s">
        <v>26</v>
      </c>
      <c r="G200" t="s">
        <v>27</v>
      </c>
      <c r="H200" t="s">
        <v>14</v>
      </c>
      <c r="I200">
        <v>46503</v>
      </c>
      <c r="J200" t="s">
        <v>68</v>
      </c>
      <c r="K200" t="s">
        <v>41</v>
      </c>
    </row>
    <row r="201" spans="1:11" x14ac:dyDescent="0.3">
      <c r="A201" t="s">
        <v>322</v>
      </c>
      <c r="B201">
        <v>14</v>
      </c>
      <c r="C201">
        <v>2</v>
      </c>
      <c r="D201">
        <v>2026</v>
      </c>
      <c r="E201" t="s">
        <v>33</v>
      </c>
      <c r="F201" t="s">
        <v>26</v>
      </c>
      <c r="G201" t="s">
        <v>21</v>
      </c>
      <c r="H201" t="s">
        <v>629</v>
      </c>
      <c r="I201">
        <v>74441</v>
      </c>
      <c r="J201" t="s">
        <v>250</v>
      </c>
      <c r="K201" t="s">
        <v>41</v>
      </c>
    </row>
    <row r="202" spans="1:11" x14ac:dyDescent="0.3">
      <c r="A202" t="s">
        <v>323</v>
      </c>
      <c r="B202">
        <v>17</v>
      </c>
      <c r="C202">
        <v>1</v>
      </c>
      <c r="D202">
        <v>2026</v>
      </c>
      <c r="E202" t="s">
        <v>37</v>
      </c>
      <c r="F202" t="s">
        <v>12</v>
      </c>
      <c r="G202" t="s">
        <v>44</v>
      </c>
      <c r="H202" t="s">
        <v>14</v>
      </c>
      <c r="I202">
        <v>14011</v>
      </c>
      <c r="J202" t="s">
        <v>202</v>
      </c>
      <c r="K202" t="s">
        <v>41</v>
      </c>
    </row>
    <row r="203" spans="1:11" x14ac:dyDescent="0.3">
      <c r="A203" t="s">
        <v>324</v>
      </c>
      <c r="B203">
        <v>6</v>
      </c>
      <c r="C203">
        <v>3</v>
      </c>
      <c r="D203">
        <v>2026</v>
      </c>
      <c r="E203" t="s">
        <v>33</v>
      </c>
      <c r="F203" t="s">
        <v>12</v>
      </c>
      <c r="G203" t="s">
        <v>13</v>
      </c>
      <c r="H203" t="s">
        <v>28</v>
      </c>
      <c r="I203">
        <v>44865</v>
      </c>
      <c r="J203" t="s">
        <v>325</v>
      </c>
      <c r="K203" t="s">
        <v>23</v>
      </c>
    </row>
    <row r="204" spans="1:11" x14ac:dyDescent="0.3">
      <c r="A204" t="s">
        <v>326</v>
      </c>
      <c r="B204">
        <v>3</v>
      </c>
      <c r="C204">
        <v>1</v>
      </c>
      <c r="D204">
        <v>2026</v>
      </c>
      <c r="E204" t="s">
        <v>11</v>
      </c>
      <c r="F204" t="s">
        <v>20</v>
      </c>
      <c r="G204" t="s">
        <v>21</v>
      </c>
      <c r="H204" t="s">
        <v>14</v>
      </c>
      <c r="I204">
        <v>47503</v>
      </c>
      <c r="J204" t="s">
        <v>155</v>
      </c>
      <c r="K204" t="s">
        <v>30</v>
      </c>
    </row>
    <row r="205" spans="1:11" x14ac:dyDescent="0.3">
      <c r="A205" t="s">
        <v>327</v>
      </c>
      <c r="B205">
        <v>20</v>
      </c>
      <c r="C205">
        <v>2</v>
      </c>
      <c r="D205">
        <v>2026</v>
      </c>
      <c r="E205" t="s">
        <v>19</v>
      </c>
      <c r="F205" t="s">
        <v>12</v>
      </c>
      <c r="G205" t="s">
        <v>44</v>
      </c>
      <c r="H205" t="s">
        <v>61</v>
      </c>
      <c r="I205">
        <v>68066</v>
      </c>
      <c r="J205" t="s">
        <v>119</v>
      </c>
      <c r="K205" t="s">
        <v>23</v>
      </c>
    </row>
    <row r="206" spans="1:11" x14ac:dyDescent="0.3">
      <c r="A206" t="s">
        <v>328</v>
      </c>
      <c r="B206">
        <v>22</v>
      </c>
      <c r="C206">
        <v>3</v>
      </c>
      <c r="D206">
        <v>2026</v>
      </c>
      <c r="E206" t="s">
        <v>37</v>
      </c>
      <c r="F206" t="s">
        <v>38</v>
      </c>
      <c r="G206" t="s">
        <v>13</v>
      </c>
      <c r="H206" t="s">
        <v>14</v>
      </c>
      <c r="I206">
        <v>44885</v>
      </c>
      <c r="J206" t="s">
        <v>72</v>
      </c>
      <c r="K206" t="s">
        <v>30</v>
      </c>
    </row>
    <row r="207" spans="1:11" x14ac:dyDescent="0.3">
      <c r="A207" t="s">
        <v>329</v>
      </c>
      <c r="B207">
        <v>5</v>
      </c>
      <c r="C207">
        <v>3</v>
      </c>
      <c r="D207">
        <v>2026</v>
      </c>
      <c r="E207" t="s">
        <v>19</v>
      </c>
      <c r="F207" t="s">
        <v>26</v>
      </c>
      <c r="G207" t="s">
        <v>44</v>
      </c>
      <c r="H207" t="s">
        <v>61</v>
      </c>
      <c r="I207">
        <v>74329</v>
      </c>
      <c r="J207" t="s">
        <v>53</v>
      </c>
      <c r="K207" t="s">
        <v>30</v>
      </c>
    </row>
    <row r="208" spans="1:11" x14ac:dyDescent="0.3">
      <c r="A208" t="s">
        <v>330</v>
      </c>
      <c r="B208">
        <v>18</v>
      </c>
      <c r="C208">
        <v>1</v>
      </c>
      <c r="D208">
        <v>2026</v>
      </c>
      <c r="E208" t="s">
        <v>33</v>
      </c>
      <c r="F208" t="s">
        <v>20</v>
      </c>
      <c r="G208" t="s">
        <v>44</v>
      </c>
      <c r="H208" t="s">
        <v>61</v>
      </c>
      <c r="I208">
        <v>46080</v>
      </c>
      <c r="J208" t="s">
        <v>224</v>
      </c>
      <c r="K208" t="s">
        <v>16</v>
      </c>
    </row>
    <row r="209" spans="1:11" x14ac:dyDescent="0.3">
      <c r="A209" t="s">
        <v>331</v>
      </c>
      <c r="B209">
        <v>24</v>
      </c>
      <c r="C209">
        <v>3</v>
      </c>
      <c r="D209">
        <v>2026</v>
      </c>
      <c r="E209" t="s">
        <v>11</v>
      </c>
      <c r="F209" t="s">
        <v>26</v>
      </c>
      <c r="G209" t="s">
        <v>21</v>
      </c>
      <c r="H209" t="s">
        <v>629</v>
      </c>
      <c r="I209">
        <v>63118</v>
      </c>
      <c r="J209" t="s">
        <v>221</v>
      </c>
      <c r="K209" t="s">
        <v>41</v>
      </c>
    </row>
    <row r="210" spans="1:11" x14ac:dyDescent="0.3">
      <c r="A210" t="s">
        <v>333</v>
      </c>
      <c r="B210">
        <v>10</v>
      </c>
      <c r="C210">
        <v>3</v>
      </c>
      <c r="D210">
        <v>2026</v>
      </c>
      <c r="E210" t="s">
        <v>60</v>
      </c>
      <c r="F210" t="s">
        <v>26</v>
      </c>
      <c r="G210" t="s">
        <v>27</v>
      </c>
      <c r="H210" t="s">
        <v>61</v>
      </c>
      <c r="I210">
        <v>13039</v>
      </c>
      <c r="J210" t="s">
        <v>132</v>
      </c>
      <c r="K210" t="s">
        <v>23</v>
      </c>
    </row>
    <row r="211" spans="1:11" x14ac:dyDescent="0.3">
      <c r="A211" t="s">
        <v>334</v>
      </c>
      <c r="B211">
        <v>8</v>
      </c>
      <c r="C211">
        <v>2</v>
      </c>
      <c r="D211">
        <v>2026</v>
      </c>
      <c r="E211" t="s">
        <v>60</v>
      </c>
      <c r="F211" t="s">
        <v>12</v>
      </c>
      <c r="G211" t="s">
        <v>44</v>
      </c>
      <c r="H211" t="s">
        <v>28</v>
      </c>
      <c r="I211">
        <v>22289</v>
      </c>
      <c r="J211" t="s">
        <v>77</v>
      </c>
      <c r="K211" t="s">
        <v>41</v>
      </c>
    </row>
    <row r="212" spans="1:11" x14ac:dyDescent="0.3">
      <c r="A212" t="s">
        <v>335</v>
      </c>
      <c r="B212">
        <v>23</v>
      </c>
      <c r="C212">
        <v>2</v>
      </c>
      <c r="D212">
        <v>2026</v>
      </c>
      <c r="E212" t="s">
        <v>19</v>
      </c>
      <c r="F212" t="s">
        <v>20</v>
      </c>
      <c r="G212" t="s">
        <v>13</v>
      </c>
      <c r="H212" t="s">
        <v>629</v>
      </c>
      <c r="I212">
        <v>73289</v>
      </c>
      <c r="J212" t="s">
        <v>32</v>
      </c>
      <c r="K212" t="s">
        <v>30</v>
      </c>
    </row>
    <row r="213" spans="1:11" x14ac:dyDescent="0.3">
      <c r="A213" t="s">
        <v>336</v>
      </c>
      <c r="B213">
        <v>1</v>
      </c>
      <c r="C213">
        <v>4</v>
      </c>
      <c r="D213">
        <v>2026</v>
      </c>
      <c r="E213" t="s">
        <v>37</v>
      </c>
      <c r="F213" t="s">
        <v>26</v>
      </c>
      <c r="G213" t="s">
        <v>27</v>
      </c>
      <c r="H213" t="s">
        <v>14</v>
      </c>
      <c r="I213">
        <v>41408</v>
      </c>
      <c r="J213" t="s">
        <v>73</v>
      </c>
      <c r="K213" t="s">
        <v>16</v>
      </c>
    </row>
    <row r="214" spans="1:11" x14ac:dyDescent="0.3">
      <c r="A214" t="s">
        <v>337</v>
      </c>
      <c r="B214">
        <v>27</v>
      </c>
      <c r="C214">
        <v>3</v>
      </c>
      <c r="D214">
        <v>2026</v>
      </c>
      <c r="E214" t="s">
        <v>37</v>
      </c>
      <c r="F214" t="s">
        <v>12</v>
      </c>
      <c r="G214" t="s">
        <v>27</v>
      </c>
      <c r="H214" t="s">
        <v>629</v>
      </c>
      <c r="I214">
        <v>44286</v>
      </c>
      <c r="J214" t="s">
        <v>67</v>
      </c>
      <c r="K214" t="s">
        <v>16</v>
      </c>
    </row>
    <row r="215" spans="1:11" x14ac:dyDescent="0.3">
      <c r="A215" t="s">
        <v>338</v>
      </c>
      <c r="B215">
        <v>26</v>
      </c>
      <c r="C215">
        <v>1</v>
      </c>
      <c r="D215">
        <v>2026</v>
      </c>
      <c r="E215" t="s">
        <v>11</v>
      </c>
      <c r="F215" t="s">
        <v>38</v>
      </c>
      <c r="G215" t="s">
        <v>21</v>
      </c>
      <c r="H215" t="s">
        <v>14</v>
      </c>
      <c r="I215">
        <v>51872</v>
      </c>
      <c r="J215" t="s">
        <v>15</v>
      </c>
      <c r="K215" t="s">
        <v>23</v>
      </c>
    </row>
    <row r="216" spans="1:11" x14ac:dyDescent="0.3">
      <c r="A216" t="s">
        <v>339</v>
      </c>
      <c r="B216">
        <v>17</v>
      </c>
      <c r="C216">
        <v>2</v>
      </c>
      <c r="D216">
        <v>2026</v>
      </c>
      <c r="E216" t="s">
        <v>33</v>
      </c>
      <c r="F216" t="s">
        <v>20</v>
      </c>
      <c r="G216" t="s">
        <v>44</v>
      </c>
      <c r="H216" t="s">
        <v>39</v>
      </c>
      <c r="I216">
        <v>12939</v>
      </c>
      <c r="J216" t="s">
        <v>50</v>
      </c>
      <c r="K216" t="s">
        <v>41</v>
      </c>
    </row>
    <row r="217" spans="1:11" x14ac:dyDescent="0.3">
      <c r="A217" t="s">
        <v>340</v>
      </c>
      <c r="B217">
        <v>17</v>
      </c>
      <c r="C217">
        <v>3</v>
      </c>
      <c r="D217">
        <v>2026</v>
      </c>
      <c r="E217" t="s">
        <v>60</v>
      </c>
      <c r="F217" t="s">
        <v>38</v>
      </c>
      <c r="G217" t="s">
        <v>27</v>
      </c>
      <c r="H217" t="s">
        <v>28</v>
      </c>
      <c r="I217">
        <v>36077</v>
      </c>
      <c r="J217" t="s">
        <v>164</v>
      </c>
      <c r="K217" t="s">
        <v>16</v>
      </c>
    </row>
    <row r="218" spans="1:11" x14ac:dyDescent="0.3">
      <c r="A218" t="s">
        <v>341</v>
      </c>
      <c r="B218">
        <v>23</v>
      </c>
      <c r="C218">
        <v>3</v>
      </c>
      <c r="D218">
        <v>2026</v>
      </c>
      <c r="E218" t="s">
        <v>60</v>
      </c>
      <c r="F218" t="s">
        <v>12</v>
      </c>
      <c r="G218" t="s">
        <v>13</v>
      </c>
      <c r="H218" t="s">
        <v>61</v>
      </c>
      <c r="I218">
        <v>77879</v>
      </c>
      <c r="J218" t="s">
        <v>67</v>
      </c>
      <c r="K218" t="s">
        <v>41</v>
      </c>
    </row>
    <row r="219" spans="1:11" x14ac:dyDescent="0.3">
      <c r="A219" t="s">
        <v>342</v>
      </c>
      <c r="B219">
        <v>16</v>
      </c>
      <c r="C219">
        <v>3</v>
      </c>
      <c r="D219">
        <v>2026</v>
      </c>
      <c r="E219" t="s">
        <v>60</v>
      </c>
      <c r="F219" t="s">
        <v>38</v>
      </c>
      <c r="G219" t="s">
        <v>27</v>
      </c>
      <c r="H219" t="s">
        <v>28</v>
      </c>
      <c r="I219">
        <v>55204</v>
      </c>
      <c r="J219" t="s">
        <v>164</v>
      </c>
      <c r="K219" t="s">
        <v>23</v>
      </c>
    </row>
    <row r="220" spans="1:11" x14ac:dyDescent="0.3">
      <c r="A220" t="s">
        <v>343</v>
      </c>
      <c r="B220">
        <v>21</v>
      </c>
      <c r="C220">
        <v>1</v>
      </c>
      <c r="D220">
        <v>2026</v>
      </c>
      <c r="E220" t="s">
        <v>37</v>
      </c>
      <c r="F220" t="s">
        <v>38</v>
      </c>
      <c r="G220" t="s">
        <v>21</v>
      </c>
      <c r="H220" t="s">
        <v>14</v>
      </c>
      <c r="I220">
        <v>31164</v>
      </c>
      <c r="J220" t="s">
        <v>10</v>
      </c>
      <c r="K220" t="s">
        <v>30</v>
      </c>
    </row>
    <row r="221" spans="1:11" x14ac:dyDescent="0.3">
      <c r="A221" t="s">
        <v>344</v>
      </c>
      <c r="B221">
        <v>26</v>
      </c>
      <c r="C221">
        <v>2</v>
      </c>
      <c r="D221">
        <v>2026</v>
      </c>
      <c r="E221" t="s">
        <v>19</v>
      </c>
      <c r="F221" t="s">
        <v>12</v>
      </c>
      <c r="G221" t="s">
        <v>44</v>
      </c>
      <c r="H221" t="s">
        <v>39</v>
      </c>
      <c r="I221">
        <v>49458</v>
      </c>
      <c r="J221" t="s">
        <v>127</v>
      </c>
      <c r="K221" t="s">
        <v>41</v>
      </c>
    </row>
    <row r="222" spans="1:11" x14ac:dyDescent="0.3">
      <c r="A222" t="s">
        <v>345</v>
      </c>
      <c r="B222">
        <v>29</v>
      </c>
      <c r="C222">
        <v>3</v>
      </c>
      <c r="D222">
        <v>2026</v>
      </c>
      <c r="E222" t="s">
        <v>37</v>
      </c>
      <c r="F222" t="s">
        <v>38</v>
      </c>
      <c r="G222" t="s">
        <v>21</v>
      </c>
      <c r="H222" t="s">
        <v>61</v>
      </c>
      <c r="I222">
        <v>53649</v>
      </c>
      <c r="J222" t="s">
        <v>213</v>
      </c>
      <c r="K222" t="s">
        <v>30</v>
      </c>
    </row>
    <row r="223" spans="1:11" x14ac:dyDescent="0.3">
      <c r="A223" t="s">
        <v>346</v>
      </c>
      <c r="B223">
        <v>11</v>
      </c>
      <c r="C223">
        <v>3</v>
      </c>
      <c r="D223">
        <v>2026</v>
      </c>
      <c r="E223" t="s">
        <v>37</v>
      </c>
      <c r="F223" t="s">
        <v>12</v>
      </c>
      <c r="G223" t="s">
        <v>44</v>
      </c>
      <c r="H223" t="s">
        <v>39</v>
      </c>
      <c r="I223">
        <v>76766</v>
      </c>
      <c r="J223" t="s">
        <v>233</v>
      </c>
      <c r="K223" t="s">
        <v>30</v>
      </c>
    </row>
    <row r="224" spans="1:11" x14ac:dyDescent="0.3">
      <c r="A224" t="s">
        <v>347</v>
      </c>
      <c r="B224">
        <v>4</v>
      </c>
      <c r="C224">
        <v>3</v>
      </c>
      <c r="D224">
        <v>2026</v>
      </c>
      <c r="E224" t="s">
        <v>37</v>
      </c>
      <c r="F224" t="s">
        <v>20</v>
      </c>
      <c r="G224" t="s">
        <v>21</v>
      </c>
      <c r="H224" t="s">
        <v>14</v>
      </c>
      <c r="I224">
        <v>42234</v>
      </c>
      <c r="J224" t="s">
        <v>53</v>
      </c>
      <c r="K224" t="s">
        <v>16</v>
      </c>
    </row>
    <row r="225" spans="1:11" x14ac:dyDescent="0.3">
      <c r="A225" t="s">
        <v>348</v>
      </c>
      <c r="B225">
        <v>10</v>
      </c>
      <c r="C225">
        <v>1</v>
      </c>
      <c r="D225">
        <v>2026</v>
      </c>
      <c r="E225" t="s">
        <v>19</v>
      </c>
      <c r="F225" t="s">
        <v>38</v>
      </c>
      <c r="G225" t="s">
        <v>27</v>
      </c>
      <c r="H225" t="s">
        <v>14</v>
      </c>
      <c r="I225">
        <v>31299</v>
      </c>
      <c r="J225" t="s">
        <v>224</v>
      </c>
      <c r="K225" t="s">
        <v>23</v>
      </c>
    </row>
    <row r="226" spans="1:11" x14ac:dyDescent="0.3">
      <c r="A226" t="s">
        <v>349</v>
      </c>
      <c r="B226">
        <v>25</v>
      </c>
      <c r="C226">
        <v>3</v>
      </c>
      <c r="D226">
        <v>2026</v>
      </c>
      <c r="E226" t="s">
        <v>60</v>
      </c>
      <c r="F226" t="s">
        <v>26</v>
      </c>
      <c r="G226" t="s">
        <v>21</v>
      </c>
      <c r="H226" t="s">
        <v>39</v>
      </c>
      <c r="I226">
        <v>56452</v>
      </c>
      <c r="J226" t="s">
        <v>72</v>
      </c>
      <c r="K226" t="s">
        <v>41</v>
      </c>
    </row>
    <row r="227" spans="1:11" x14ac:dyDescent="0.3">
      <c r="A227" t="s">
        <v>350</v>
      </c>
      <c r="B227">
        <v>16</v>
      </c>
      <c r="C227">
        <v>1</v>
      </c>
      <c r="D227">
        <v>2026</v>
      </c>
      <c r="E227" t="s">
        <v>19</v>
      </c>
      <c r="F227" t="s">
        <v>26</v>
      </c>
      <c r="G227" t="s">
        <v>13</v>
      </c>
      <c r="H227" t="s">
        <v>14</v>
      </c>
      <c r="I227">
        <v>76891</v>
      </c>
      <c r="J227" t="s">
        <v>79</v>
      </c>
      <c r="K227" t="s">
        <v>16</v>
      </c>
    </row>
    <row r="228" spans="1:11" x14ac:dyDescent="0.3">
      <c r="A228" t="s">
        <v>351</v>
      </c>
      <c r="B228">
        <v>22</v>
      </c>
      <c r="C228">
        <v>2</v>
      </c>
      <c r="D228">
        <v>2026</v>
      </c>
      <c r="E228" t="s">
        <v>33</v>
      </c>
      <c r="F228" t="s">
        <v>20</v>
      </c>
      <c r="G228" t="s">
        <v>27</v>
      </c>
      <c r="H228" t="s">
        <v>14</v>
      </c>
      <c r="I228">
        <v>69017</v>
      </c>
      <c r="J228" t="s">
        <v>94</v>
      </c>
      <c r="K228" t="s">
        <v>16</v>
      </c>
    </row>
    <row r="229" spans="1:11" x14ac:dyDescent="0.3">
      <c r="A229" t="s">
        <v>352</v>
      </c>
      <c r="B229">
        <v>25</v>
      </c>
      <c r="C229">
        <v>3</v>
      </c>
      <c r="D229">
        <v>2026</v>
      </c>
      <c r="E229" t="s">
        <v>33</v>
      </c>
      <c r="F229" t="s">
        <v>26</v>
      </c>
      <c r="G229" t="s">
        <v>44</v>
      </c>
      <c r="H229" t="s">
        <v>39</v>
      </c>
      <c r="I229">
        <v>58003</v>
      </c>
      <c r="J229" t="s">
        <v>101</v>
      </c>
      <c r="K229" t="s">
        <v>23</v>
      </c>
    </row>
    <row r="230" spans="1:11" x14ac:dyDescent="0.3">
      <c r="A230" t="s">
        <v>353</v>
      </c>
      <c r="B230">
        <v>15</v>
      </c>
      <c r="C230">
        <v>3</v>
      </c>
      <c r="D230">
        <v>2026</v>
      </c>
      <c r="E230" t="s">
        <v>19</v>
      </c>
      <c r="F230" t="s">
        <v>26</v>
      </c>
      <c r="G230" t="s">
        <v>27</v>
      </c>
      <c r="H230" t="s">
        <v>14</v>
      </c>
      <c r="I230">
        <v>43403</v>
      </c>
      <c r="J230" t="s">
        <v>332</v>
      </c>
      <c r="K230" t="s">
        <v>23</v>
      </c>
    </row>
    <row r="231" spans="1:11" x14ac:dyDescent="0.3">
      <c r="A231" t="s">
        <v>354</v>
      </c>
      <c r="B231">
        <v>15</v>
      </c>
      <c r="C231">
        <v>2</v>
      </c>
      <c r="D231">
        <v>2026</v>
      </c>
      <c r="E231" t="s">
        <v>60</v>
      </c>
      <c r="F231" t="s">
        <v>38</v>
      </c>
      <c r="G231" t="s">
        <v>21</v>
      </c>
      <c r="H231" t="s">
        <v>629</v>
      </c>
      <c r="I231">
        <v>10678</v>
      </c>
      <c r="J231" t="s">
        <v>93</v>
      </c>
      <c r="K231" t="s">
        <v>30</v>
      </c>
    </row>
    <row r="232" spans="1:11" x14ac:dyDescent="0.3">
      <c r="A232" t="s">
        <v>355</v>
      </c>
      <c r="B232">
        <v>16</v>
      </c>
      <c r="C232">
        <v>1</v>
      </c>
      <c r="D232">
        <v>2026</v>
      </c>
      <c r="E232" t="s">
        <v>11</v>
      </c>
      <c r="F232" t="s">
        <v>20</v>
      </c>
      <c r="G232" t="s">
        <v>13</v>
      </c>
      <c r="H232" t="s">
        <v>14</v>
      </c>
      <c r="I232">
        <v>25035</v>
      </c>
      <c r="J232" t="s">
        <v>79</v>
      </c>
      <c r="K232" t="s">
        <v>30</v>
      </c>
    </row>
    <row r="233" spans="1:11" x14ac:dyDescent="0.3">
      <c r="A233" t="s">
        <v>356</v>
      </c>
      <c r="B233">
        <v>17</v>
      </c>
      <c r="C233">
        <v>3</v>
      </c>
      <c r="D233">
        <v>2026</v>
      </c>
      <c r="E233" t="s">
        <v>60</v>
      </c>
      <c r="F233" t="s">
        <v>38</v>
      </c>
      <c r="G233" t="s">
        <v>44</v>
      </c>
      <c r="H233" t="s">
        <v>629</v>
      </c>
      <c r="I233">
        <v>14548</v>
      </c>
      <c r="J233" t="s">
        <v>221</v>
      </c>
      <c r="K233" t="s">
        <v>16</v>
      </c>
    </row>
    <row r="234" spans="1:11" x14ac:dyDescent="0.3">
      <c r="A234" t="s">
        <v>357</v>
      </c>
      <c r="B234">
        <v>19</v>
      </c>
      <c r="C234">
        <v>2</v>
      </c>
      <c r="D234">
        <v>2026</v>
      </c>
      <c r="E234" t="s">
        <v>11</v>
      </c>
      <c r="F234" t="s">
        <v>38</v>
      </c>
      <c r="G234" t="s">
        <v>21</v>
      </c>
      <c r="H234" t="s">
        <v>14</v>
      </c>
      <c r="I234">
        <v>15618</v>
      </c>
      <c r="J234" t="s">
        <v>45</v>
      </c>
      <c r="K234" t="s">
        <v>30</v>
      </c>
    </row>
    <row r="235" spans="1:11" x14ac:dyDescent="0.3">
      <c r="A235" t="s">
        <v>358</v>
      </c>
      <c r="B235">
        <v>9</v>
      </c>
      <c r="C235">
        <v>3</v>
      </c>
      <c r="D235">
        <v>2026</v>
      </c>
      <c r="E235" t="s">
        <v>37</v>
      </c>
      <c r="F235" t="s">
        <v>38</v>
      </c>
      <c r="G235" t="s">
        <v>21</v>
      </c>
      <c r="H235" t="s">
        <v>629</v>
      </c>
      <c r="I235">
        <v>5519</v>
      </c>
      <c r="J235" t="s">
        <v>56</v>
      </c>
      <c r="K235" t="s">
        <v>16</v>
      </c>
    </row>
    <row r="236" spans="1:11" x14ac:dyDescent="0.3">
      <c r="A236" t="s">
        <v>359</v>
      </c>
      <c r="B236">
        <v>28</v>
      </c>
      <c r="C236">
        <v>1</v>
      </c>
      <c r="D236">
        <v>2026</v>
      </c>
      <c r="E236" t="s">
        <v>60</v>
      </c>
      <c r="F236" t="s">
        <v>12</v>
      </c>
      <c r="G236" t="s">
        <v>13</v>
      </c>
      <c r="H236" t="s">
        <v>28</v>
      </c>
      <c r="I236">
        <v>27946</v>
      </c>
      <c r="J236" t="s">
        <v>90</v>
      </c>
      <c r="K236" t="s">
        <v>16</v>
      </c>
    </row>
    <row r="237" spans="1:11" x14ac:dyDescent="0.3">
      <c r="A237" t="s">
        <v>360</v>
      </c>
      <c r="B237">
        <v>4</v>
      </c>
      <c r="C237">
        <v>1</v>
      </c>
      <c r="D237">
        <v>2026</v>
      </c>
      <c r="E237" t="s">
        <v>60</v>
      </c>
      <c r="F237" t="s">
        <v>38</v>
      </c>
      <c r="G237" t="s">
        <v>44</v>
      </c>
      <c r="H237" t="s">
        <v>629</v>
      </c>
      <c r="I237">
        <v>76110</v>
      </c>
      <c r="J237" t="s">
        <v>155</v>
      </c>
      <c r="K237" t="s">
        <v>41</v>
      </c>
    </row>
    <row r="238" spans="1:11" x14ac:dyDescent="0.3">
      <c r="A238" t="s">
        <v>362</v>
      </c>
      <c r="B238">
        <v>25</v>
      </c>
      <c r="C238">
        <v>1</v>
      </c>
      <c r="D238">
        <v>2026</v>
      </c>
      <c r="E238" t="s">
        <v>37</v>
      </c>
      <c r="F238" t="s">
        <v>38</v>
      </c>
      <c r="G238" t="s">
        <v>13</v>
      </c>
      <c r="H238" t="s">
        <v>629</v>
      </c>
      <c r="I238">
        <v>60730</v>
      </c>
      <c r="J238" t="s">
        <v>106</v>
      </c>
      <c r="K238" t="s">
        <v>30</v>
      </c>
    </row>
    <row r="239" spans="1:11" x14ac:dyDescent="0.3">
      <c r="A239" t="s">
        <v>363</v>
      </c>
      <c r="B239">
        <v>8</v>
      </c>
      <c r="C239">
        <v>3</v>
      </c>
      <c r="D239">
        <v>2026</v>
      </c>
      <c r="E239" t="s">
        <v>19</v>
      </c>
      <c r="F239" t="s">
        <v>12</v>
      </c>
      <c r="G239" t="s">
        <v>21</v>
      </c>
      <c r="H239" t="s">
        <v>61</v>
      </c>
      <c r="I239">
        <v>16000</v>
      </c>
      <c r="J239" t="s">
        <v>34</v>
      </c>
      <c r="K239" t="s">
        <v>16</v>
      </c>
    </row>
    <row r="240" spans="1:11" x14ac:dyDescent="0.3">
      <c r="A240" t="s">
        <v>364</v>
      </c>
      <c r="B240">
        <v>3</v>
      </c>
      <c r="C240">
        <v>3</v>
      </c>
      <c r="D240">
        <v>2026</v>
      </c>
      <c r="E240" t="s">
        <v>11</v>
      </c>
      <c r="F240" t="s">
        <v>12</v>
      </c>
      <c r="G240" t="s">
        <v>13</v>
      </c>
      <c r="H240" t="s">
        <v>14</v>
      </c>
      <c r="I240">
        <v>38392</v>
      </c>
      <c r="J240" t="s">
        <v>56</v>
      </c>
      <c r="K240" t="s">
        <v>30</v>
      </c>
    </row>
    <row r="241" spans="1:11" x14ac:dyDescent="0.3">
      <c r="A241" t="s">
        <v>365</v>
      </c>
      <c r="B241">
        <v>10</v>
      </c>
      <c r="C241">
        <v>3</v>
      </c>
      <c r="D241">
        <v>2026</v>
      </c>
      <c r="E241" t="s">
        <v>37</v>
      </c>
      <c r="F241" t="s">
        <v>20</v>
      </c>
      <c r="G241" t="s">
        <v>44</v>
      </c>
      <c r="H241" t="s">
        <v>14</v>
      </c>
      <c r="I241">
        <v>77137</v>
      </c>
      <c r="J241" t="s">
        <v>233</v>
      </c>
      <c r="K241" t="s">
        <v>30</v>
      </c>
    </row>
    <row r="242" spans="1:11" x14ac:dyDescent="0.3">
      <c r="A242" t="s">
        <v>366</v>
      </c>
      <c r="B242">
        <v>23</v>
      </c>
      <c r="C242">
        <v>3</v>
      </c>
      <c r="D242">
        <v>2026</v>
      </c>
      <c r="E242" t="s">
        <v>11</v>
      </c>
      <c r="F242" t="s">
        <v>38</v>
      </c>
      <c r="G242" t="s">
        <v>21</v>
      </c>
      <c r="H242" t="s">
        <v>629</v>
      </c>
      <c r="I242">
        <v>77251</v>
      </c>
      <c r="J242" t="s">
        <v>110</v>
      </c>
      <c r="K242" t="s">
        <v>16</v>
      </c>
    </row>
    <row r="243" spans="1:11" x14ac:dyDescent="0.3">
      <c r="A243" t="s">
        <v>367</v>
      </c>
      <c r="B243">
        <v>3</v>
      </c>
      <c r="C243">
        <v>3</v>
      </c>
      <c r="D243">
        <v>2026</v>
      </c>
      <c r="E243" t="s">
        <v>11</v>
      </c>
      <c r="F243" t="s">
        <v>20</v>
      </c>
      <c r="G243" t="s">
        <v>44</v>
      </c>
      <c r="H243" t="s">
        <v>14</v>
      </c>
      <c r="I243">
        <v>33714</v>
      </c>
      <c r="J243" t="s">
        <v>54</v>
      </c>
      <c r="K243" t="s">
        <v>16</v>
      </c>
    </row>
    <row r="244" spans="1:11" x14ac:dyDescent="0.3">
      <c r="A244" t="s">
        <v>368</v>
      </c>
      <c r="B244">
        <v>24</v>
      </c>
      <c r="C244">
        <v>2</v>
      </c>
      <c r="D244">
        <v>2026</v>
      </c>
      <c r="E244" t="s">
        <v>11</v>
      </c>
      <c r="F244" t="s">
        <v>20</v>
      </c>
      <c r="G244" t="s">
        <v>21</v>
      </c>
      <c r="H244" t="s">
        <v>629</v>
      </c>
      <c r="I244">
        <v>17104</v>
      </c>
      <c r="J244" t="s">
        <v>32</v>
      </c>
      <c r="K244" t="s">
        <v>16</v>
      </c>
    </row>
    <row r="245" spans="1:11" x14ac:dyDescent="0.3">
      <c r="A245" t="s">
        <v>369</v>
      </c>
      <c r="B245">
        <v>21</v>
      </c>
      <c r="C245">
        <v>1</v>
      </c>
      <c r="D245">
        <v>2026</v>
      </c>
      <c r="E245" t="s">
        <v>37</v>
      </c>
      <c r="F245" t="s">
        <v>20</v>
      </c>
      <c r="G245" t="s">
        <v>44</v>
      </c>
      <c r="H245" t="s">
        <v>14</v>
      </c>
      <c r="I245">
        <v>59394</v>
      </c>
      <c r="J245" t="s">
        <v>10</v>
      </c>
      <c r="K245" t="s">
        <v>30</v>
      </c>
    </row>
    <row r="246" spans="1:11" x14ac:dyDescent="0.3">
      <c r="A246" t="s">
        <v>370</v>
      </c>
      <c r="B246">
        <v>11</v>
      </c>
      <c r="C246">
        <v>2</v>
      </c>
      <c r="D246">
        <v>2026</v>
      </c>
      <c r="E246" t="s">
        <v>37</v>
      </c>
      <c r="F246" t="s">
        <v>38</v>
      </c>
      <c r="G246" t="s">
        <v>27</v>
      </c>
      <c r="H246" t="s">
        <v>28</v>
      </c>
      <c r="I246">
        <v>19582</v>
      </c>
      <c r="J246" t="s">
        <v>93</v>
      </c>
      <c r="K246" t="s">
        <v>16</v>
      </c>
    </row>
    <row r="247" spans="1:11" x14ac:dyDescent="0.3">
      <c r="A247" t="s">
        <v>371</v>
      </c>
      <c r="B247">
        <v>26</v>
      </c>
      <c r="C247">
        <v>1</v>
      </c>
      <c r="D247">
        <v>2026</v>
      </c>
      <c r="E247" t="s">
        <v>11</v>
      </c>
      <c r="F247" t="s">
        <v>12</v>
      </c>
      <c r="G247" t="s">
        <v>13</v>
      </c>
      <c r="H247" t="s">
        <v>629</v>
      </c>
      <c r="I247">
        <v>70912</v>
      </c>
      <c r="J247" t="s">
        <v>106</v>
      </c>
      <c r="K247" t="s">
        <v>30</v>
      </c>
    </row>
    <row r="248" spans="1:11" x14ac:dyDescent="0.3">
      <c r="A248" t="s">
        <v>372</v>
      </c>
      <c r="B248">
        <v>29</v>
      </c>
      <c r="C248">
        <v>3</v>
      </c>
      <c r="D248">
        <v>2026</v>
      </c>
      <c r="E248" t="s">
        <v>60</v>
      </c>
      <c r="F248" t="s">
        <v>26</v>
      </c>
      <c r="G248" t="s">
        <v>21</v>
      </c>
      <c r="H248" t="s">
        <v>61</v>
      </c>
      <c r="I248">
        <v>35924</v>
      </c>
      <c r="J248" t="s">
        <v>67</v>
      </c>
      <c r="K248" t="s">
        <v>23</v>
      </c>
    </row>
    <row r="249" spans="1:11" x14ac:dyDescent="0.3">
      <c r="A249" t="s">
        <v>373</v>
      </c>
      <c r="B249">
        <v>10</v>
      </c>
      <c r="C249">
        <v>3</v>
      </c>
      <c r="D249">
        <v>2026</v>
      </c>
      <c r="E249" t="s">
        <v>37</v>
      </c>
      <c r="F249" t="s">
        <v>20</v>
      </c>
      <c r="G249" t="s">
        <v>21</v>
      </c>
      <c r="H249" t="s">
        <v>28</v>
      </c>
      <c r="I249">
        <v>71107</v>
      </c>
      <c r="J249" t="s">
        <v>34</v>
      </c>
      <c r="K249" t="s">
        <v>41</v>
      </c>
    </row>
    <row r="250" spans="1:11" x14ac:dyDescent="0.3">
      <c r="A250" t="s">
        <v>374</v>
      </c>
      <c r="B250">
        <v>19</v>
      </c>
      <c r="C250">
        <v>1</v>
      </c>
      <c r="D250">
        <v>2026</v>
      </c>
      <c r="E250" t="s">
        <v>37</v>
      </c>
      <c r="F250" t="s">
        <v>26</v>
      </c>
      <c r="G250" t="s">
        <v>27</v>
      </c>
      <c r="H250" t="s">
        <v>39</v>
      </c>
      <c r="I250">
        <v>14535</v>
      </c>
      <c r="J250" t="s">
        <v>59</v>
      </c>
      <c r="K250" t="s">
        <v>30</v>
      </c>
    </row>
    <row r="251" spans="1:11" x14ac:dyDescent="0.3">
      <c r="A251" t="s">
        <v>375</v>
      </c>
      <c r="B251">
        <v>24</v>
      </c>
      <c r="C251">
        <v>1</v>
      </c>
      <c r="D251">
        <v>2026</v>
      </c>
      <c r="E251" t="s">
        <v>19</v>
      </c>
      <c r="F251" t="s">
        <v>20</v>
      </c>
      <c r="G251" t="s">
        <v>13</v>
      </c>
      <c r="H251" t="s">
        <v>28</v>
      </c>
      <c r="I251">
        <v>36391</v>
      </c>
      <c r="J251" t="s">
        <v>203</v>
      </c>
      <c r="K251" t="s">
        <v>23</v>
      </c>
    </row>
    <row r="252" spans="1:11" x14ac:dyDescent="0.3">
      <c r="A252" t="s">
        <v>376</v>
      </c>
      <c r="B252">
        <v>5</v>
      </c>
      <c r="C252">
        <v>1</v>
      </c>
      <c r="D252">
        <v>2026</v>
      </c>
      <c r="E252" t="s">
        <v>60</v>
      </c>
      <c r="F252" t="s">
        <v>20</v>
      </c>
      <c r="G252" t="s">
        <v>13</v>
      </c>
      <c r="H252" t="s">
        <v>629</v>
      </c>
      <c r="I252">
        <v>30856</v>
      </c>
      <c r="J252" t="s">
        <v>22</v>
      </c>
      <c r="K252" t="s">
        <v>23</v>
      </c>
    </row>
    <row r="253" spans="1:11" x14ac:dyDescent="0.3">
      <c r="A253" t="s">
        <v>377</v>
      </c>
      <c r="B253">
        <v>15</v>
      </c>
      <c r="C253">
        <v>2</v>
      </c>
      <c r="D253">
        <v>2026</v>
      </c>
      <c r="E253" t="s">
        <v>19</v>
      </c>
      <c r="F253" t="s">
        <v>26</v>
      </c>
      <c r="G253" t="s">
        <v>27</v>
      </c>
      <c r="H253" t="s">
        <v>14</v>
      </c>
      <c r="I253">
        <v>74249</v>
      </c>
      <c r="J253" t="s">
        <v>50</v>
      </c>
      <c r="K253" t="s">
        <v>41</v>
      </c>
    </row>
    <row r="254" spans="1:11" x14ac:dyDescent="0.3">
      <c r="A254" t="s">
        <v>378</v>
      </c>
      <c r="B254">
        <v>26</v>
      </c>
      <c r="C254">
        <v>1</v>
      </c>
      <c r="D254">
        <v>2026</v>
      </c>
      <c r="E254" t="s">
        <v>60</v>
      </c>
      <c r="F254" t="s">
        <v>38</v>
      </c>
      <c r="G254" t="s">
        <v>27</v>
      </c>
      <c r="H254" t="s">
        <v>629</v>
      </c>
      <c r="I254">
        <v>66999</v>
      </c>
      <c r="J254" t="s">
        <v>82</v>
      </c>
      <c r="K254" t="s">
        <v>16</v>
      </c>
    </row>
    <row r="255" spans="1:11" x14ac:dyDescent="0.3">
      <c r="A255" t="s">
        <v>379</v>
      </c>
      <c r="B255">
        <v>24</v>
      </c>
      <c r="C255">
        <v>3</v>
      </c>
      <c r="D255">
        <v>2026</v>
      </c>
      <c r="E255" t="s">
        <v>19</v>
      </c>
      <c r="F255" t="s">
        <v>26</v>
      </c>
      <c r="G255" t="s">
        <v>21</v>
      </c>
      <c r="H255" t="s">
        <v>14</v>
      </c>
      <c r="I255">
        <v>67020</v>
      </c>
      <c r="J255" t="s">
        <v>262</v>
      </c>
      <c r="K255" t="s">
        <v>23</v>
      </c>
    </row>
    <row r="256" spans="1:11" x14ac:dyDescent="0.3">
      <c r="A256" t="s">
        <v>380</v>
      </c>
      <c r="B256">
        <v>23</v>
      </c>
      <c r="C256">
        <v>2</v>
      </c>
      <c r="D256">
        <v>2026</v>
      </c>
      <c r="E256" t="s">
        <v>11</v>
      </c>
      <c r="F256" t="s">
        <v>20</v>
      </c>
      <c r="G256" t="s">
        <v>44</v>
      </c>
      <c r="H256" t="s">
        <v>39</v>
      </c>
      <c r="I256">
        <v>6138</v>
      </c>
      <c r="J256" t="s">
        <v>151</v>
      </c>
      <c r="K256" t="s">
        <v>30</v>
      </c>
    </row>
    <row r="257" spans="1:11" x14ac:dyDescent="0.3">
      <c r="A257" t="s">
        <v>381</v>
      </c>
      <c r="B257">
        <v>10</v>
      </c>
      <c r="C257">
        <v>3</v>
      </c>
      <c r="D257">
        <v>2026</v>
      </c>
      <c r="E257" t="s">
        <v>37</v>
      </c>
      <c r="F257" t="s">
        <v>20</v>
      </c>
      <c r="G257" t="s">
        <v>13</v>
      </c>
      <c r="H257" t="s">
        <v>14</v>
      </c>
      <c r="I257">
        <v>17834</v>
      </c>
      <c r="J257" t="s">
        <v>54</v>
      </c>
      <c r="K257" t="s">
        <v>23</v>
      </c>
    </row>
    <row r="258" spans="1:11" x14ac:dyDescent="0.3">
      <c r="A258" t="s">
        <v>382</v>
      </c>
      <c r="B258">
        <v>26</v>
      </c>
      <c r="C258">
        <v>3</v>
      </c>
      <c r="D258">
        <v>2026</v>
      </c>
      <c r="E258" t="s">
        <v>37</v>
      </c>
      <c r="F258" t="s">
        <v>20</v>
      </c>
      <c r="G258" t="s">
        <v>21</v>
      </c>
      <c r="H258" t="s">
        <v>28</v>
      </c>
      <c r="I258">
        <v>45508</v>
      </c>
      <c r="J258" t="s">
        <v>67</v>
      </c>
      <c r="K258" t="s">
        <v>23</v>
      </c>
    </row>
    <row r="259" spans="1:11" x14ac:dyDescent="0.3">
      <c r="A259" t="s">
        <v>383</v>
      </c>
      <c r="B259">
        <v>10</v>
      </c>
      <c r="C259">
        <v>3</v>
      </c>
      <c r="D259">
        <v>2026</v>
      </c>
      <c r="E259" t="s">
        <v>37</v>
      </c>
      <c r="F259" t="s">
        <v>26</v>
      </c>
      <c r="G259" t="s">
        <v>44</v>
      </c>
      <c r="H259" t="s">
        <v>39</v>
      </c>
      <c r="I259">
        <v>66232</v>
      </c>
      <c r="J259" t="s">
        <v>116</v>
      </c>
      <c r="K259" t="s">
        <v>16</v>
      </c>
    </row>
    <row r="260" spans="1:11" x14ac:dyDescent="0.3">
      <c r="A260" t="s">
        <v>384</v>
      </c>
      <c r="B260">
        <v>21</v>
      </c>
      <c r="C260">
        <v>2</v>
      </c>
      <c r="D260">
        <v>2026</v>
      </c>
      <c r="E260" t="s">
        <v>11</v>
      </c>
      <c r="F260" t="s">
        <v>20</v>
      </c>
      <c r="G260" t="s">
        <v>21</v>
      </c>
      <c r="H260" t="s">
        <v>14</v>
      </c>
      <c r="I260">
        <v>7137</v>
      </c>
      <c r="J260" t="s">
        <v>96</v>
      </c>
      <c r="K260" t="s">
        <v>23</v>
      </c>
    </row>
    <row r="261" spans="1:11" x14ac:dyDescent="0.3">
      <c r="A261" t="s">
        <v>385</v>
      </c>
      <c r="B261">
        <v>12</v>
      </c>
      <c r="C261">
        <v>2</v>
      </c>
      <c r="D261">
        <v>2026</v>
      </c>
      <c r="E261" t="s">
        <v>60</v>
      </c>
      <c r="F261" t="s">
        <v>20</v>
      </c>
      <c r="G261" t="s">
        <v>21</v>
      </c>
      <c r="H261" t="s">
        <v>28</v>
      </c>
      <c r="I261">
        <v>67504</v>
      </c>
      <c r="J261" t="s">
        <v>126</v>
      </c>
      <c r="K261" t="s">
        <v>16</v>
      </c>
    </row>
    <row r="262" spans="1:11" x14ac:dyDescent="0.3">
      <c r="A262" t="s">
        <v>386</v>
      </c>
      <c r="B262">
        <v>16</v>
      </c>
      <c r="C262">
        <v>2</v>
      </c>
      <c r="D262">
        <v>2026</v>
      </c>
      <c r="E262" t="s">
        <v>37</v>
      </c>
      <c r="F262" t="s">
        <v>12</v>
      </c>
      <c r="G262" t="s">
        <v>13</v>
      </c>
      <c r="H262" t="s">
        <v>28</v>
      </c>
      <c r="I262">
        <v>34842</v>
      </c>
      <c r="J262" t="s">
        <v>151</v>
      </c>
      <c r="K262" t="s">
        <v>30</v>
      </c>
    </row>
    <row r="263" spans="1:11" x14ac:dyDescent="0.3">
      <c r="A263" t="s">
        <v>387</v>
      </c>
      <c r="B263">
        <v>29</v>
      </c>
      <c r="C263">
        <v>1</v>
      </c>
      <c r="D263">
        <v>2026</v>
      </c>
      <c r="E263" t="s">
        <v>11</v>
      </c>
      <c r="F263" t="s">
        <v>20</v>
      </c>
      <c r="G263" t="s">
        <v>27</v>
      </c>
      <c r="H263" t="s">
        <v>14</v>
      </c>
      <c r="I263">
        <v>42007</v>
      </c>
      <c r="J263" t="s">
        <v>47</v>
      </c>
      <c r="K263" t="s">
        <v>23</v>
      </c>
    </row>
    <row r="264" spans="1:11" x14ac:dyDescent="0.3">
      <c r="A264" t="s">
        <v>388</v>
      </c>
      <c r="B264">
        <v>11</v>
      </c>
      <c r="C264">
        <v>3</v>
      </c>
      <c r="D264">
        <v>2026</v>
      </c>
      <c r="E264" t="s">
        <v>11</v>
      </c>
      <c r="F264" t="s">
        <v>12</v>
      </c>
      <c r="G264" t="s">
        <v>44</v>
      </c>
      <c r="H264" t="s">
        <v>28</v>
      </c>
      <c r="I264">
        <v>23505</v>
      </c>
      <c r="J264" t="s">
        <v>56</v>
      </c>
      <c r="K264" t="s">
        <v>30</v>
      </c>
    </row>
    <row r="265" spans="1:11" x14ac:dyDescent="0.3">
      <c r="A265" t="s">
        <v>389</v>
      </c>
      <c r="B265">
        <v>5</v>
      </c>
      <c r="C265">
        <v>2</v>
      </c>
      <c r="D265">
        <v>2026</v>
      </c>
      <c r="E265" t="s">
        <v>11</v>
      </c>
      <c r="F265" t="s">
        <v>12</v>
      </c>
      <c r="G265" t="s">
        <v>44</v>
      </c>
      <c r="H265" t="s">
        <v>14</v>
      </c>
      <c r="I265">
        <v>49091</v>
      </c>
      <c r="J265" t="s">
        <v>91</v>
      </c>
      <c r="K265" t="s">
        <v>16</v>
      </c>
    </row>
    <row r="266" spans="1:11" x14ac:dyDescent="0.3">
      <c r="A266" t="s">
        <v>390</v>
      </c>
      <c r="B266">
        <v>12</v>
      </c>
      <c r="C266">
        <v>3</v>
      </c>
      <c r="D266">
        <v>2026</v>
      </c>
      <c r="E266" t="s">
        <v>33</v>
      </c>
      <c r="F266" t="s">
        <v>20</v>
      </c>
      <c r="G266" t="s">
        <v>27</v>
      </c>
      <c r="H266" t="s">
        <v>28</v>
      </c>
      <c r="I266">
        <v>41497</v>
      </c>
      <c r="J266" t="s">
        <v>116</v>
      </c>
      <c r="K266" t="s">
        <v>41</v>
      </c>
    </row>
    <row r="267" spans="1:11" x14ac:dyDescent="0.3">
      <c r="A267" t="s">
        <v>391</v>
      </c>
      <c r="B267">
        <v>15</v>
      </c>
      <c r="C267">
        <v>3</v>
      </c>
      <c r="D267">
        <v>2026</v>
      </c>
      <c r="E267" t="s">
        <v>19</v>
      </c>
      <c r="F267" t="s">
        <v>38</v>
      </c>
      <c r="G267" t="s">
        <v>27</v>
      </c>
      <c r="H267" t="s">
        <v>28</v>
      </c>
      <c r="I267">
        <v>68021</v>
      </c>
      <c r="J267" t="s">
        <v>57</v>
      </c>
      <c r="K267" t="s">
        <v>30</v>
      </c>
    </row>
    <row r="268" spans="1:11" x14ac:dyDescent="0.3">
      <c r="A268" t="s">
        <v>392</v>
      </c>
      <c r="B268">
        <v>17</v>
      </c>
      <c r="C268">
        <v>2</v>
      </c>
      <c r="D268">
        <v>2026</v>
      </c>
      <c r="E268" t="s">
        <v>37</v>
      </c>
      <c r="F268" t="s">
        <v>38</v>
      </c>
      <c r="G268" t="s">
        <v>13</v>
      </c>
      <c r="H268" t="s">
        <v>39</v>
      </c>
      <c r="I268">
        <v>49915</v>
      </c>
      <c r="J268" t="s">
        <v>250</v>
      </c>
      <c r="K268" t="s">
        <v>23</v>
      </c>
    </row>
    <row r="269" spans="1:11" x14ac:dyDescent="0.3">
      <c r="A269" t="s">
        <v>393</v>
      </c>
      <c r="B269">
        <v>18</v>
      </c>
      <c r="C269">
        <v>2</v>
      </c>
      <c r="D269">
        <v>2026</v>
      </c>
      <c r="E269" t="s">
        <v>19</v>
      </c>
      <c r="F269" t="s">
        <v>20</v>
      </c>
      <c r="G269" t="s">
        <v>13</v>
      </c>
      <c r="H269" t="s">
        <v>629</v>
      </c>
      <c r="I269">
        <v>58382</v>
      </c>
      <c r="J269" t="s">
        <v>51</v>
      </c>
      <c r="K269" t="s">
        <v>30</v>
      </c>
    </row>
    <row r="270" spans="1:11" x14ac:dyDescent="0.3">
      <c r="A270" t="s">
        <v>394</v>
      </c>
      <c r="B270">
        <v>2</v>
      </c>
      <c r="C270">
        <v>2</v>
      </c>
      <c r="D270">
        <v>2026</v>
      </c>
      <c r="E270" t="s">
        <v>37</v>
      </c>
      <c r="F270" t="s">
        <v>12</v>
      </c>
      <c r="G270" t="s">
        <v>44</v>
      </c>
      <c r="H270" t="s">
        <v>61</v>
      </c>
      <c r="I270">
        <v>21216</v>
      </c>
      <c r="J270" t="s">
        <v>62</v>
      </c>
      <c r="K270" t="s">
        <v>23</v>
      </c>
    </row>
    <row r="271" spans="1:11" x14ac:dyDescent="0.3">
      <c r="A271" t="s">
        <v>395</v>
      </c>
      <c r="B271">
        <v>25</v>
      </c>
      <c r="C271">
        <v>2</v>
      </c>
      <c r="D271">
        <v>2026</v>
      </c>
      <c r="E271" t="s">
        <v>19</v>
      </c>
      <c r="F271" t="s">
        <v>12</v>
      </c>
      <c r="G271" t="s">
        <v>27</v>
      </c>
      <c r="H271" t="s">
        <v>28</v>
      </c>
      <c r="I271">
        <v>28723</v>
      </c>
      <c r="J271" t="s">
        <v>84</v>
      </c>
      <c r="K271" t="s">
        <v>41</v>
      </c>
    </row>
    <row r="272" spans="1:11" x14ac:dyDescent="0.3">
      <c r="A272" t="s">
        <v>396</v>
      </c>
      <c r="B272">
        <v>30</v>
      </c>
      <c r="C272">
        <v>3</v>
      </c>
      <c r="D272">
        <v>2026</v>
      </c>
      <c r="E272" t="s">
        <v>19</v>
      </c>
      <c r="F272" t="s">
        <v>38</v>
      </c>
      <c r="G272" t="s">
        <v>44</v>
      </c>
      <c r="H272" t="s">
        <v>629</v>
      </c>
      <c r="I272">
        <v>45542</v>
      </c>
      <c r="J272" t="s">
        <v>213</v>
      </c>
      <c r="K272" t="s">
        <v>41</v>
      </c>
    </row>
    <row r="273" spans="1:11" x14ac:dyDescent="0.3">
      <c r="A273" t="s">
        <v>397</v>
      </c>
      <c r="B273">
        <v>22</v>
      </c>
      <c r="C273">
        <v>2</v>
      </c>
      <c r="D273">
        <v>2026</v>
      </c>
      <c r="E273" t="s">
        <v>60</v>
      </c>
      <c r="F273" t="s">
        <v>20</v>
      </c>
      <c r="G273" t="s">
        <v>13</v>
      </c>
      <c r="H273" t="s">
        <v>61</v>
      </c>
      <c r="I273">
        <v>78249</v>
      </c>
      <c r="J273" t="s">
        <v>94</v>
      </c>
      <c r="K273" t="s">
        <v>41</v>
      </c>
    </row>
    <row r="274" spans="1:11" x14ac:dyDescent="0.3">
      <c r="A274" t="s">
        <v>398</v>
      </c>
      <c r="B274">
        <v>15</v>
      </c>
      <c r="C274">
        <v>2</v>
      </c>
      <c r="D274">
        <v>2026</v>
      </c>
      <c r="E274" t="s">
        <v>37</v>
      </c>
      <c r="F274" t="s">
        <v>38</v>
      </c>
      <c r="G274" t="s">
        <v>21</v>
      </c>
      <c r="H274" t="s">
        <v>14</v>
      </c>
      <c r="I274">
        <v>67008</v>
      </c>
      <c r="J274" t="s">
        <v>122</v>
      </c>
      <c r="K274" t="s">
        <v>41</v>
      </c>
    </row>
    <row r="275" spans="1:11" x14ac:dyDescent="0.3">
      <c r="A275" t="s">
        <v>399</v>
      </c>
      <c r="B275">
        <v>18</v>
      </c>
      <c r="C275">
        <v>3</v>
      </c>
      <c r="D275">
        <v>2026</v>
      </c>
      <c r="E275" t="s">
        <v>33</v>
      </c>
      <c r="F275" t="s">
        <v>20</v>
      </c>
      <c r="G275" t="s">
        <v>27</v>
      </c>
      <c r="H275" t="s">
        <v>14</v>
      </c>
      <c r="I275">
        <v>10650</v>
      </c>
      <c r="J275" t="s">
        <v>36</v>
      </c>
      <c r="K275" t="s">
        <v>41</v>
      </c>
    </row>
    <row r="276" spans="1:11" x14ac:dyDescent="0.3">
      <c r="A276" t="s">
        <v>400</v>
      </c>
      <c r="B276">
        <v>25</v>
      </c>
      <c r="C276">
        <v>2</v>
      </c>
      <c r="D276">
        <v>2026</v>
      </c>
      <c r="E276" t="s">
        <v>19</v>
      </c>
      <c r="F276" t="s">
        <v>38</v>
      </c>
      <c r="G276" t="s">
        <v>13</v>
      </c>
      <c r="H276" t="s">
        <v>14</v>
      </c>
      <c r="I276">
        <v>21965</v>
      </c>
      <c r="J276" t="s">
        <v>64</v>
      </c>
      <c r="K276" t="s">
        <v>41</v>
      </c>
    </row>
    <row r="277" spans="1:11" x14ac:dyDescent="0.3">
      <c r="A277" t="s">
        <v>401</v>
      </c>
      <c r="B277">
        <v>15</v>
      </c>
      <c r="C277">
        <v>3</v>
      </c>
      <c r="D277">
        <v>2026</v>
      </c>
      <c r="E277" t="s">
        <v>33</v>
      </c>
      <c r="F277" t="s">
        <v>12</v>
      </c>
      <c r="G277" t="s">
        <v>44</v>
      </c>
      <c r="H277" t="s">
        <v>61</v>
      </c>
      <c r="I277">
        <v>58104</v>
      </c>
      <c r="J277" t="s">
        <v>110</v>
      </c>
      <c r="K277" t="s">
        <v>23</v>
      </c>
    </row>
    <row r="278" spans="1:11" x14ac:dyDescent="0.3">
      <c r="A278" t="s">
        <v>402</v>
      </c>
      <c r="B278">
        <v>8</v>
      </c>
      <c r="C278">
        <v>3</v>
      </c>
      <c r="D278">
        <v>2026</v>
      </c>
      <c r="E278" t="s">
        <v>37</v>
      </c>
      <c r="F278" t="s">
        <v>20</v>
      </c>
      <c r="G278" t="s">
        <v>21</v>
      </c>
      <c r="H278" t="s">
        <v>28</v>
      </c>
      <c r="I278">
        <v>36732</v>
      </c>
      <c r="J278" t="s">
        <v>34</v>
      </c>
      <c r="K278" t="s">
        <v>23</v>
      </c>
    </row>
    <row r="279" spans="1:11" x14ac:dyDescent="0.3">
      <c r="A279" t="s">
        <v>403</v>
      </c>
      <c r="B279">
        <v>11</v>
      </c>
      <c r="C279">
        <v>3</v>
      </c>
      <c r="D279">
        <v>2026</v>
      </c>
      <c r="E279" t="s">
        <v>19</v>
      </c>
      <c r="F279" t="s">
        <v>20</v>
      </c>
      <c r="G279" t="s">
        <v>27</v>
      </c>
      <c r="H279" t="s">
        <v>61</v>
      </c>
      <c r="I279">
        <v>40914</v>
      </c>
      <c r="J279" t="s">
        <v>65</v>
      </c>
      <c r="K279" t="s">
        <v>41</v>
      </c>
    </row>
    <row r="280" spans="1:11" x14ac:dyDescent="0.3">
      <c r="A280" t="s">
        <v>404</v>
      </c>
      <c r="B280">
        <v>8</v>
      </c>
      <c r="C280">
        <v>1</v>
      </c>
      <c r="D280">
        <v>2026</v>
      </c>
      <c r="E280" t="s">
        <v>60</v>
      </c>
      <c r="F280" t="s">
        <v>38</v>
      </c>
      <c r="G280" t="s">
        <v>13</v>
      </c>
      <c r="H280" t="s">
        <v>61</v>
      </c>
      <c r="I280">
        <v>17767</v>
      </c>
      <c r="J280" t="s">
        <v>155</v>
      </c>
      <c r="K280" t="s">
        <v>23</v>
      </c>
    </row>
    <row r="281" spans="1:11" x14ac:dyDescent="0.3">
      <c r="A281" t="s">
        <v>405</v>
      </c>
      <c r="B281">
        <v>4</v>
      </c>
      <c r="C281">
        <v>3</v>
      </c>
      <c r="D281">
        <v>2026</v>
      </c>
      <c r="E281" t="s">
        <v>19</v>
      </c>
      <c r="F281" t="s">
        <v>12</v>
      </c>
      <c r="G281" t="s">
        <v>13</v>
      </c>
      <c r="H281" t="s">
        <v>629</v>
      </c>
      <c r="I281">
        <v>49704</v>
      </c>
      <c r="J281" t="s">
        <v>32</v>
      </c>
      <c r="K281" t="s">
        <v>30</v>
      </c>
    </row>
    <row r="282" spans="1:11" x14ac:dyDescent="0.3">
      <c r="A282" t="s">
        <v>406</v>
      </c>
      <c r="B282">
        <v>5</v>
      </c>
      <c r="C282">
        <v>1</v>
      </c>
      <c r="D282">
        <v>2026</v>
      </c>
      <c r="E282" t="s">
        <v>19</v>
      </c>
      <c r="F282" t="s">
        <v>20</v>
      </c>
      <c r="G282" t="s">
        <v>21</v>
      </c>
      <c r="H282" t="s">
        <v>629</v>
      </c>
      <c r="I282">
        <v>37801</v>
      </c>
      <c r="J282" t="s">
        <v>170</v>
      </c>
      <c r="K282" t="s">
        <v>23</v>
      </c>
    </row>
    <row r="283" spans="1:11" x14ac:dyDescent="0.3">
      <c r="A283" t="s">
        <v>407</v>
      </c>
      <c r="B283">
        <v>10</v>
      </c>
      <c r="C283">
        <v>3</v>
      </c>
      <c r="D283">
        <v>2026</v>
      </c>
      <c r="E283" t="s">
        <v>60</v>
      </c>
      <c r="F283" t="s">
        <v>12</v>
      </c>
      <c r="G283" t="s">
        <v>44</v>
      </c>
      <c r="H283" t="s">
        <v>28</v>
      </c>
      <c r="I283">
        <v>40991</v>
      </c>
      <c r="J283" t="s">
        <v>65</v>
      </c>
      <c r="K283" t="s">
        <v>23</v>
      </c>
    </row>
    <row r="284" spans="1:11" x14ac:dyDescent="0.3">
      <c r="A284" t="s">
        <v>408</v>
      </c>
      <c r="B284">
        <v>2</v>
      </c>
      <c r="C284">
        <v>1</v>
      </c>
      <c r="D284">
        <v>2026</v>
      </c>
      <c r="E284" t="s">
        <v>11</v>
      </c>
      <c r="F284" t="s">
        <v>12</v>
      </c>
      <c r="G284" t="s">
        <v>13</v>
      </c>
      <c r="H284" t="s">
        <v>39</v>
      </c>
      <c r="I284">
        <v>6430</v>
      </c>
      <c r="J284" t="s">
        <v>88</v>
      </c>
      <c r="K284" t="s">
        <v>16</v>
      </c>
    </row>
    <row r="285" spans="1:11" x14ac:dyDescent="0.3">
      <c r="A285" t="s">
        <v>409</v>
      </c>
      <c r="B285">
        <v>1</v>
      </c>
      <c r="C285">
        <v>4</v>
      </c>
      <c r="D285">
        <v>2026</v>
      </c>
      <c r="E285" t="s">
        <v>11</v>
      </c>
      <c r="F285" t="s">
        <v>20</v>
      </c>
      <c r="G285" t="s">
        <v>21</v>
      </c>
      <c r="H285" t="s">
        <v>39</v>
      </c>
      <c r="I285">
        <v>15771</v>
      </c>
      <c r="J285" t="s">
        <v>262</v>
      </c>
      <c r="K285" t="s">
        <v>30</v>
      </c>
    </row>
    <row r="286" spans="1:11" x14ac:dyDescent="0.3">
      <c r="A286" t="s">
        <v>410</v>
      </c>
      <c r="B286">
        <v>4</v>
      </c>
      <c r="C286">
        <v>2</v>
      </c>
      <c r="D286">
        <v>2026</v>
      </c>
      <c r="E286" t="s">
        <v>11</v>
      </c>
      <c r="F286" t="s">
        <v>26</v>
      </c>
      <c r="G286" t="s">
        <v>21</v>
      </c>
      <c r="H286" t="s">
        <v>28</v>
      </c>
      <c r="I286">
        <v>27849</v>
      </c>
      <c r="J286" t="s">
        <v>90</v>
      </c>
      <c r="K286" t="s">
        <v>16</v>
      </c>
    </row>
    <row r="287" spans="1:11" x14ac:dyDescent="0.3">
      <c r="A287" t="s">
        <v>411</v>
      </c>
      <c r="B287">
        <v>2</v>
      </c>
      <c r="C287">
        <v>1</v>
      </c>
      <c r="D287">
        <v>2026</v>
      </c>
      <c r="E287" t="s">
        <v>19</v>
      </c>
      <c r="F287" t="s">
        <v>12</v>
      </c>
      <c r="G287" t="s">
        <v>27</v>
      </c>
      <c r="H287" t="s">
        <v>28</v>
      </c>
      <c r="I287">
        <v>22604</v>
      </c>
      <c r="J287" t="s">
        <v>173</v>
      </c>
      <c r="K287" t="s">
        <v>16</v>
      </c>
    </row>
    <row r="288" spans="1:11" x14ac:dyDescent="0.3">
      <c r="A288" t="s">
        <v>412</v>
      </c>
      <c r="B288">
        <v>22</v>
      </c>
      <c r="C288">
        <v>3</v>
      </c>
      <c r="D288">
        <v>2026</v>
      </c>
      <c r="E288" t="s">
        <v>19</v>
      </c>
      <c r="F288" t="s">
        <v>12</v>
      </c>
      <c r="G288" t="s">
        <v>13</v>
      </c>
      <c r="H288" t="s">
        <v>629</v>
      </c>
      <c r="I288">
        <v>63666</v>
      </c>
      <c r="J288" t="s">
        <v>101</v>
      </c>
      <c r="K288" t="s">
        <v>41</v>
      </c>
    </row>
    <row r="289" spans="1:11" x14ac:dyDescent="0.3">
      <c r="A289" t="s">
        <v>413</v>
      </c>
      <c r="B289">
        <v>20</v>
      </c>
      <c r="C289">
        <v>1</v>
      </c>
      <c r="D289">
        <v>2026</v>
      </c>
      <c r="E289" t="s">
        <v>33</v>
      </c>
      <c r="F289" t="s">
        <v>20</v>
      </c>
      <c r="G289" t="s">
        <v>44</v>
      </c>
      <c r="H289" t="s">
        <v>629</v>
      </c>
      <c r="I289">
        <v>58873</v>
      </c>
      <c r="J289" t="s">
        <v>79</v>
      </c>
      <c r="K289" t="s">
        <v>41</v>
      </c>
    </row>
    <row r="290" spans="1:11" x14ac:dyDescent="0.3">
      <c r="A290" t="s">
        <v>414</v>
      </c>
      <c r="B290">
        <v>7</v>
      </c>
      <c r="C290">
        <v>1</v>
      </c>
      <c r="D290">
        <v>2026</v>
      </c>
      <c r="E290" t="s">
        <v>33</v>
      </c>
      <c r="F290" t="s">
        <v>12</v>
      </c>
      <c r="G290" t="s">
        <v>13</v>
      </c>
      <c r="H290" t="s">
        <v>28</v>
      </c>
      <c r="I290">
        <v>51450</v>
      </c>
      <c r="J290" t="s">
        <v>297</v>
      </c>
      <c r="K290" t="s">
        <v>41</v>
      </c>
    </row>
    <row r="291" spans="1:11" x14ac:dyDescent="0.3">
      <c r="A291" t="s">
        <v>415</v>
      </c>
      <c r="B291">
        <v>24</v>
      </c>
      <c r="C291">
        <v>3</v>
      </c>
      <c r="D291">
        <v>2026</v>
      </c>
      <c r="E291" t="s">
        <v>19</v>
      </c>
      <c r="F291" t="s">
        <v>38</v>
      </c>
      <c r="G291" t="s">
        <v>27</v>
      </c>
      <c r="H291" t="s">
        <v>28</v>
      </c>
      <c r="I291">
        <v>50484</v>
      </c>
      <c r="J291" t="s">
        <v>99</v>
      </c>
      <c r="K291" t="s">
        <v>41</v>
      </c>
    </row>
    <row r="292" spans="1:11" x14ac:dyDescent="0.3">
      <c r="A292" t="s">
        <v>416</v>
      </c>
      <c r="B292">
        <v>2</v>
      </c>
      <c r="C292">
        <v>2</v>
      </c>
      <c r="D292">
        <v>2026</v>
      </c>
      <c r="E292" t="s">
        <v>19</v>
      </c>
      <c r="F292" t="s">
        <v>38</v>
      </c>
      <c r="G292" t="s">
        <v>44</v>
      </c>
      <c r="H292" t="s">
        <v>39</v>
      </c>
      <c r="I292">
        <v>58506</v>
      </c>
      <c r="J292" t="s">
        <v>62</v>
      </c>
      <c r="K292" t="s">
        <v>41</v>
      </c>
    </row>
    <row r="293" spans="1:11" x14ac:dyDescent="0.3">
      <c r="A293" t="s">
        <v>417</v>
      </c>
      <c r="B293">
        <v>30</v>
      </c>
      <c r="C293">
        <v>1</v>
      </c>
      <c r="D293">
        <v>2026</v>
      </c>
      <c r="E293" t="s">
        <v>37</v>
      </c>
      <c r="F293" t="s">
        <v>20</v>
      </c>
      <c r="G293" t="s">
        <v>27</v>
      </c>
      <c r="H293" t="s">
        <v>61</v>
      </c>
      <c r="I293">
        <v>6983</v>
      </c>
      <c r="J293" t="s">
        <v>130</v>
      </c>
      <c r="K293" t="s">
        <v>16</v>
      </c>
    </row>
    <row r="294" spans="1:11" x14ac:dyDescent="0.3">
      <c r="A294" t="s">
        <v>418</v>
      </c>
      <c r="B294">
        <v>21</v>
      </c>
      <c r="C294">
        <v>3</v>
      </c>
      <c r="D294">
        <v>2026</v>
      </c>
      <c r="E294" t="s">
        <v>11</v>
      </c>
      <c r="F294" t="s">
        <v>26</v>
      </c>
      <c r="G294" t="s">
        <v>27</v>
      </c>
      <c r="H294" t="s">
        <v>14</v>
      </c>
      <c r="I294">
        <v>5787</v>
      </c>
      <c r="J294" t="s">
        <v>101</v>
      </c>
      <c r="K294" t="s">
        <v>16</v>
      </c>
    </row>
    <row r="295" spans="1:11" x14ac:dyDescent="0.3">
      <c r="A295" t="s">
        <v>419</v>
      </c>
      <c r="B295">
        <v>26</v>
      </c>
      <c r="C295">
        <v>2</v>
      </c>
      <c r="D295">
        <v>2026</v>
      </c>
      <c r="E295" t="s">
        <v>37</v>
      </c>
      <c r="F295" t="s">
        <v>38</v>
      </c>
      <c r="G295" t="s">
        <v>27</v>
      </c>
      <c r="H295" t="s">
        <v>629</v>
      </c>
      <c r="I295">
        <v>50951</v>
      </c>
      <c r="J295" t="s">
        <v>53</v>
      </c>
      <c r="K295" t="s">
        <v>41</v>
      </c>
    </row>
    <row r="296" spans="1:11" x14ac:dyDescent="0.3">
      <c r="A296" t="s">
        <v>420</v>
      </c>
      <c r="B296">
        <v>27</v>
      </c>
      <c r="C296">
        <v>3</v>
      </c>
      <c r="D296">
        <v>2026</v>
      </c>
      <c r="E296" t="s">
        <v>33</v>
      </c>
      <c r="F296" t="s">
        <v>26</v>
      </c>
      <c r="G296" t="s">
        <v>21</v>
      </c>
      <c r="H296" t="s">
        <v>14</v>
      </c>
      <c r="I296">
        <v>39690</v>
      </c>
      <c r="J296" t="s">
        <v>72</v>
      </c>
      <c r="K296" t="s">
        <v>16</v>
      </c>
    </row>
    <row r="297" spans="1:11" x14ac:dyDescent="0.3">
      <c r="A297" t="s">
        <v>421</v>
      </c>
      <c r="B297">
        <v>31</v>
      </c>
      <c r="C297">
        <v>1</v>
      </c>
      <c r="D297">
        <v>2026</v>
      </c>
      <c r="E297" t="s">
        <v>19</v>
      </c>
      <c r="F297" t="s">
        <v>12</v>
      </c>
      <c r="G297" t="s">
        <v>21</v>
      </c>
      <c r="H297" t="s">
        <v>28</v>
      </c>
      <c r="I297">
        <v>14809</v>
      </c>
      <c r="J297" t="s">
        <v>129</v>
      </c>
      <c r="K297" t="s">
        <v>16</v>
      </c>
    </row>
    <row r="298" spans="1:11" x14ac:dyDescent="0.3">
      <c r="A298" t="s">
        <v>422</v>
      </c>
      <c r="B298">
        <v>3</v>
      </c>
      <c r="C298">
        <v>1</v>
      </c>
      <c r="D298">
        <v>2026</v>
      </c>
      <c r="E298" t="s">
        <v>33</v>
      </c>
      <c r="F298" t="s">
        <v>20</v>
      </c>
      <c r="G298" t="s">
        <v>13</v>
      </c>
      <c r="H298" t="s">
        <v>39</v>
      </c>
      <c r="I298">
        <v>37220</v>
      </c>
      <c r="J298" t="s">
        <v>361</v>
      </c>
      <c r="K298" t="s">
        <v>41</v>
      </c>
    </row>
    <row r="299" spans="1:11" x14ac:dyDescent="0.3">
      <c r="A299" t="s">
        <v>423</v>
      </c>
      <c r="B299">
        <v>7</v>
      </c>
      <c r="C299">
        <v>1</v>
      </c>
      <c r="D299">
        <v>2026</v>
      </c>
      <c r="E299" t="s">
        <v>33</v>
      </c>
      <c r="F299" t="s">
        <v>12</v>
      </c>
      <c r="G299" t="s">
        <v>21</v>
      </c>
      <c r="H299" t="s">
        <v>61</v>
      </c>
      <c r="I299">
        <v>51972</v>
      </c>
      <c r="J299" t="s">
        <v>156</v>
      </c>
      <c r="K299" t="s">
        <v>41</v>
      </c>
    </row>
    <row r="300" spans="1:11" x14ac:dyDescent="0.3">
      <c r="A300" t="s">
        <v>424</v>
      </c>
      <c r="B300">
        <v>27</v>
      </c>
      <c r="C300">
        <v>1</v>
      </c>
      <c r="D300">
        <v>2026</v>
      </c>
      <c r="E300" t="s">
        <v>19</v>
      </c>
      <c r="F300" t="s">
        <v>20</v>
      </c>
      <c r="G300" t="s">
        <v>13</v>
      </c>
      <c r="H300" t="s">
        <v>39</v>
      </c>
      <c r="I300">
        <v>75195</v>
      </c>
      <c r="J300" t="s">
        <v>82</v>
      </c>
      <c r="K300" t="s">
        <v>16</v>
      </c>
    </row>
    <row r="301" spans="1:11" x14ac:dyDescent="0.3">
      <c r="A301" t="s">
        <v>425</v>
      </c>
      <c r="B301">
        <v>30</v>
      </c>
      <c r="C301">
        <v>3</v>
      </c>
      <c r="D301">
        <v>2026</v>
      </c>
      <c r="E301" t="s">
        <v>37</v>
      </c>
      <c r="F301" t="s">
        <v>38</v>
      </c>
      <c r="G301" t="s">
        <v>21</v>
      </c>
      <c r="H301" t="s">
        <v>39</v>
      </c>
      <c r="I301">
        <v>21367</v>
      </c>
      <c r="J301" t="s">
        <v>268</v>
      </c>
      <c r="K301" t="s">
        <v>16</v>
      </c>
    </row>
    <row r="302" spans="1:11" x14ac:dyDescent="0.3">
      <c r="A302" t="s">
        <v>426</v>
      </c>
      <c r="B302">
        <v>9</v>
      </c>
      <c r="C302">
        <v>2</v>
      </c>
      <c r="D302">
        <v>2026</v>
      </c>
      <c r="E302" t="s">
        <v>11</v>
      </c>
      <c r="F302" t="s">
        <v>12</v>
      </c>
      <c r="G302" t="s">
        <v>21</v>
      </c>
      <c r="H302" t="s">
        <v>61</v>
      </c>
      <c r="I302">
        <v>66862</v>
      </c>
      <c r="J302" t="s">
        <v>48</v>
      </c>
      <c r="K302" t="s">
        <v>23</v>
      </c>
    </row>
    <row r="303" spans="1:11" x14ac:dyDescent="0.3">
      <c r="A303" t="s">
        <v>427</v>
      </c>
      <c r="B303">
        <v>5</v>
      </c>
      <c r="C303">
        <v>2</v>
      </c>
      <c r="D303">
        <v>2026</v>
      </c>
      <c r="E303" t="s">
        <v>11</v>
      </c>
      <c r="F303" t="s">
        <v>26</v>
      </c>
      <c r="G303" t="s">
        <v>44</v>
      </c>
      <c r="H303" t="s">
        <v>39</v>
      </c>
      <c r="I303">
        <v>19568</v>
      </c>
      <c r="J303" t="s">
        <v>91</v>
      </c>
      <c r="K303" t="s">
        <v>23</v>
      </c>
    </row>
    <row r="304" spans="1:11" x14ac:dyDescent="0.3">
      <c r="A304" t="s">
        <v>428</v>
      </c>
      <c r="B304">
        <v>5</v>
      </c>
      <c r="C304">
        <v>1</v>
      </c>
      <c r="D304">
        <v>2026</v>
      </c>
      <c r="E304" t="s">
        <v>37</v>
      </c>
      <c r="F304" t="s">
        <v>20</v>
      </c>
      <c r="G304" t="s">
        <v>13</v>
      </c>
      <c r="H304" t="s">
        <v>28</v>
      </c>
      <c r="I304">
        <v>38295</v>
      </c>
      <c r="J304" t="s">
        <v>22</v>
      </c>
      <c r="K304" t="s">
        <v>16</v>
      </c>
    </row>
    <row r="305" spans="1:11" x14ac:dyDescent="0.3">
      <c r="A305" t="s">
        <v>429</v>
      </c>
      <c r="B305">
        <v>14</v>
      </c>
      <c r="C305">
        <v>3</v>
      </c>
      <c r="D305">
        <v>2026</v>
      </c>
      <c r="E305" t="s">
        <v>37</v>
      </c>
      <c r="F305" t="s">
        <v>12</v>
      </c>
      <c r="G305" t="s">
        <v>13</v>
      </c>
      <c r="H305" t="s">
        <v>39</v>
      </c>
      <c r="I305">
        <v>62000</v>
      </c>
      <c r="J305" t="s">
        <v>86</v>
      </c>
      <c r="K305" t="s">
        <v>41</v>
      </c>
    </row>
    <row r="306" spans="1:11" x14ac:dyDescent="0.3">
      <c r="A306" t="s">
        <v>430</v>
      </c>
      <c r="B306">
        <v>4</v>
      </c>
      <c r="C306">
        <v>1</v>
      </c>
      <c r="D306">
        <v>2026</v>
      </c>
      <c r="E306" t="s">
        <v>33</v>
      </c>
      <c r="F306" t="s">
        <v>12</v>
      </c>
      <c r="G306" t="s">
        <v>27</v>
      </c>
      <c r="H306" t="s">
        <v>629</v>
      </c>
      <c r="I306">
        <v>26709</v>
      </c>
      <c r="J306" t="s">
        <v>195</v>
      </c>
      <c r="K306" t="s">
        <v>30</v>
      </c>
    </row>
    <row r="307" spans="1:11" x14ac:dyDescent="0.3">
      <c r="A307" t="s">
        <v>431</v>
      </c>
      <c r="B307">
        <v>11</v>
      </c>
      <c r="C307">
        <v>1</v>
      </c>
      <c r="D307">
        <v>2026</v>
      </c>
      <c r="E307" t="s">
        <v>37</v>
      </c>
      <c r="F307" t="s">
        <v>26</v>
      </c>
      <c r="G307" t="s">
        <v>44</v>
      </c>
      <c r="H307" t="s">
        <v>28</v>
      </c>
      <c r="I307">
        <v>25187</v>
      </c>
      <c r="J307" t="s">
        <v>141</v>
      </c>
      <c r="K307" t="s">
        <v>30</v>
      </c>
    </row>
    <row r="308" spans="1:11" x14ac:dyDescent="0.3">
      <c r="A308" t="s">
        <v>432</v>
      </c>
      <c r="B308">
        <v>17</v>
      </c>
      <c r="C308">
        <v>3</v>
      </c>
      <c r="D308">
        <v>2026</v>
      </c>
      <c r="E308" t="s">
        <v>37</v>
      </c>
      <c r="F308" t="s">
        <v>12</v>
      </c>
      <c r="G308" t="s">
        <v>27</v>
      </c>
      <c r="H308" t="s">
        <v>629</v>
      </c>
      <c r="I308">
        <v>39373</v>
      </c>
      <c r="J308" t="s">
        <v>70</v>
      </c>
      <c r="K308" t="s">
        <v>23</v>
      </c>
    </row>
    <row r="309" spans="1:11" x14ac:dyDescent="0.3">
      <c r="A309" t="s">
        <v>433</v>
      </c>
      <c r="B309">
        <v>27</v>
      </c>
      <c r="C309">
        <v>3</v>
      </c>
      <c r="D309">
        <v>2026</v>
      </c>
      <c r="E309" t="s">
        <v>37</v>
      </c>
      <c r="F309" t="s">
        <v>26</v>
      </c>
      <c r="G309" t="s">
        <v>27</v>
      </c>
      <c r="H309" t="s">
        <v>39</v>
      </c>
      <c r="I309">
        <v>40734</v>
      </c>
      <c r="J309" t="s">
        <v>213</v>
      </c>
      <c r="K309" t="s">
        <v>23</v>
      </c>
    </row>
    <row r="310" spans="1:11" x14ac:dyDescent="0.3">
      <c r="A310" t="s">
        <v>434</v>
      </c>
      <c r="B310">
        <v>17</v>
      </c>
      <c r="C310">
        <v>3</v>
      </c>
      <c r="D310">
        <v>2026</v>
      </c>
      <c r="E310" t="s">
        <v>33</v>
      </c>
      <c r="F310" t="s">
        <v>20</v>
      </c>
      <c r="G310" t="s">
        <v>44</v>
      </c>
      <c r="H310" t="s">
        <v>39</v>
      </c>
      <c r="I310">
        <v>60339</v>
      </c>
      <c r="J310" t="s">
        <v>86</v>
      </c>
      <c r="K310" t="s">
        <v>23</v>
      </c>
    </row>
    <row r="311" spans="1:11" x14ac:dyDescent="0.3">
      <c r="A311" t="s">
        <v>435</v>
      </c>
      <c r="B311">
        <v>30</v>
      </c>
      <c r="C311">
        <v>3</v>
      </c>
      <c r="D311">
        <v>2026</v>
      </c>
      <c r="E311" t="s">
        <v>19</v>
      </c>
      <c r="F311" t="s">
        <v>12</v>
      </c>
      <c r="G311" t="s">
        <v>27</v>
      </c>
      <c r="H311" t="s">
        <v>629</v>
      </c>
      <c r="I311">
        <v>72525</v>
      </c>
      <c r="J311" t="s">
        <v>40</v>
      </c>
      <c r="K311" t="s">
        <v>41</v>
      </c>
    </row>
    <row r="312" spans="1:11" x14ac:dyDescent="0.3">
      <c r="A312" t="s">
        <v>436</v>
      </c>
      <c r="B312">
        <v>13</v>
      </c>
      <c r="C312">
        <v>3</v>
      </c>
      <c r="D312">
        <v>2026</v>
      </c>
      <c r="E312" t="s">
        <v>11</v>
      </c>
      <c r="F312" t="s">
        <v>20</v>
      </c>
      <c r="G312" t="s">
        <v>27</v>
      </c>
      <c r="H312" t="s">
        <v>14</v>
      </c>
      <c r="I312">
        <v>17638</v>
      </c>
      <c r="J312" t="s">
        <v>116</v>
      </c>
      <c r="K312" t="s">
        <v>23</v>
      </c>
    </row>
    <row r="313" spans="1:11" x14ac:dyDescent="0.3">
      <c r="A313" t="s">
        <v>437</v>
      </c>
      <c r="B313">
        <v>27</v>
      </c>
      <c r="C313">
        <v>2</v>
      </c>
      <c r="D313">
        <v>2026</v>
      </c>
      <c r="E313" t="s">
        <v>11</v>
      </c>
      <c r="F313" t="s">
        <v>38</v>
      </c>
      <c r="G313" t="s">
        <v>21</v>
      </c>
      <c r="H313" t="s">
        <v>14</v>
      </c>
      <c r="I313">
        <v>41484</v>
      </c>
      <c r="J313" t="s">
        <v>84</v>
      </c>
      <c r="K313" t="s">
        <v>23</v>
      </c>
    </row>
    <row r="314" spans="1:11" x14ac:dyDescent="0.3">
      <c r="A314" t="s">
        <v>438</v>
      </c>
      <c r="B314">
        <v>28</v>
      </c>
      <c r="C314">
        <v>3</v>
      </c>
      <c r="D314">
        <v>2026</v>
      </c>
      <c r="E314" t="s">
        <v>19</v>
      </c>
      <c r="F314" t="s">
        <v>26</v>
      </c>
      <c r="G314" t="s">
        <v>21</v>
      </c>
      <c r="H314" t="s">
        <v>39</v>
      </c>
      <c r="I314">
        <v>50543</v>
      </c>
      <c r="J314" t="s">
        <v>213</v>
      </c>
      <c r="K314" t="s">
        <v>16</v>
      </c>
    </row>
    <row r="315" spans="1:11" x14ac:dyDescent="0.3">
      <c r="A315" t="s">
        <v>439</v>
      </c>
      <c r="B315">
        <v>21</v>
      </c>
      <c r="C315">
        <v>3</v>
      </c>
      <c r="D315">
        <v>2026</v>
      </c>
      <c r="E315" t="s">
        <v>33</v>
      </c>
      <c r="F315" t="s">
        <v>20</v>
      </c>
      <c r="G315" t="s">
        <v>27</v>
      </c>
      <c r="H315" t="s">
        <v>14</v>
      </c>
      <c r="I315">
        <v>72327</v>
      </c>
      <c r="J315" t="s">
        <v>332</v>
      </c>
      <c r="K315" t="s">
        <v>41</v>
      </c>
    </row>
    <row r="316" spans="1:11" x14ac:dyDescent="0.3">
      <c r="A316" t="s">
        <v>440</v>
      </c>
      <c r="B316">
        <v>12</v>
      </c>
      <c r="C316">
        <v>1</v>
      </c>
      <c r="D316">
        <v>2026</v>
      </c>
      <c r="E316" t="s">
        <v>60</v>
      </c>
      <c r="F316" t="s">
        <v>38</v>
      </c>
      <c r="G316" t="s">
        <v>44</v>
      </c>
      <c r="H316" t="s">
        <v>28</v>
      </c>
      <c r="I316">
        <v>58376</v>
      </c>
      <c r="J316" t="s">
        <v>141</v>
      </c>
      <c r="K316" t="s">
        <v>23</v>
      </c>
    </row>
    <row r="317" spans="1:11" x14ac:dyDescent="0.3">
      <c r="A317" t="s">
        <v>441</v>
      </c>
      <c r="B317">
        <v>22</v>
      </c>
      <c r="C317">
        <v>2</v>
      </c>
      <c r="D317">
        <v>2026</v>
      </c>
      <c r="E317" t="s">
        <v>33</v>
      </c>
      <c r="F317" t="s">
        <v>38</v>
      </c>
      <c r="G317" t="s">
        <v>44</v>
      </c>
      <c r="H317" t="s">
        <v>629</v>
      </c>
      <c r="I317">
        <v>29147</v>
      </c>
      <c r="J317" t="s">
        <v>75</v>
      </c>
      <c r="K317" t="s">
        <v>23</v>
      </c>
    </row>
    <row r="318" spans="1:11" x14ac:dyDescent="0.3">
      <c r="A318" t="s">
        <v>442</v>
      </c>
      <c r="B318">
        <v>27</v>
      </c>
      <c r="C318">
        <v>1</v>
      </c>
      <c r="D318">
        <v>2026</v>
      </c>
      <c r="E318" t="s">
        <v>60</v>
      </c>
      <c r="F318" t="s">
        <v>38</v>
      </c>
      <c r="G318" t="s">
        <v>21</v>
      </c>
      <c r="H318" t="s">
        <v>629</v>
      </c>
      <c r="I318">
        <v>66387</v>
      </c>
      <c r="J318" t="s">
        <v>29</v>
      </c>
      <c r="K318" t="s">
        <v>23</v>
      </c>
    </row>
    <row r="319" spans="1:11" x14ac:dyDescent="0.3">
      <c r="A319" t="s">
        <v>443</v>
      </c>
      <c r="B319">
        <v>21</v>
      </c>
      <c r="C319">
        <v>1</v>
      </c>
      <c r="D319">
        <v>2026</v>
      </c>
      <c r="E319" t="s">
        <v>60</v>
      </c>
      <c r="F319" t="s">
        <v>26</v>
      </c>
      <c r="G319" t="s">
        <v>44</v>
      </c>
      <c r="H319" t="s">
        <v>61</v>
      </c>
      <c r="I319">
        <v>16016</v>
      </c>
      <c r="J319" t="s">
        <v>81</v>
      </c>
      <c r="K319" t="s">
        <v>16</v>
      </c>
    </row>
    <row r="320" spans="1:11" x14ac:dyDescent="0.3">
      <c r="A320" t="s">
        <v>444</v>
      </c>
      <c r="B320">
        <v>22</v>
      </c>
      <c r="C320">
        <v>3</v>
      </c>
      <c r="D320">
        <v>2026</v>
      </c>
      <c r="E320" t="s">
        <v>19</v>
      </c>
      <c r="F320" t="s">
        <v>12</v>
      </c>
      <c r="G320" t="s">
        <v>13</v>
      </c>
      <c r="H320" t="s">
        <v>61</v>
      </c>
      <c r="I320">
        <v>31816</v>
      </c>
      <c r="J320" t="s">
        <v>110</v>
      </c>
      <c r="K320" t="s">
        <v>41</v>
      </c>
    </row>
    <row r="321" spans="1:11" x14ac:dyDescent="0.3">
      <c r="A321" t="s">
        <v>445</v>
      </c>
      <c r="B321">
        <v>3</v>
      </c>
      <c r="C321">
        <v>2</v>
      </c>
      <c r="D321">
        <v>2026</v>
      </c>
      <c r="E321" t="s">
        <v>33</v>
      </c>
      <c r="F321" t="s">
        <v>20</v>
      </c>
      <c r="G321" t="s">
        <v>44</v>
      </c>
      <c r="H321" t="s">
        <v>14</v>
      </c>
      <c r="I321">
        <v>51715</v>
      </c>
      <c r="J321" t="s">
        <v>130</v>
      </c>
      <c r="K321" t="s">
        <v>23</v>
      </c>
    </row>
    <row r="322" spans="1:11" x14ac:dyDescent="0.3">
      <c r="A322" t="s">
        <v>446</v>
      </c>
      <c r="B322">
        <v>13</v>
      </c>
      <c r="C322">
        <v>1</v>
      </c>
      <c r="D322">
        <v>2026</v>
      </c>
      <c r="E322" t="s">
        <v>19</v>
      </c>
      <c r="F322" t="s">
        <v>20</v>
      </c>
      <c r="G322" t="s">
        <v>13</v>
      </c>
      <c r="H322" t="s">
        <v>629</v>
      </c>
      <c r="I322">
        <v>31256</v>
      </c>
      <c r="J322" t="s">
        <v>140</v>
      </c>
      <c r="K322" t="s">
        <v>23</v>
      </c>
    </row>
    <row r="323" spans="1:11" x14ac:dyDescent="0.3">
      <c r="A323" t="s">
        <v>447</v>
      </c>
      <c r="B323">
        <v>11</v>
      </c>
      <c r="C323">
        <v>2</v>
      </c>
      <c r="D323">
        <v>2026</v>
      </c>
      <c r="E323" t="s">
        <v>11</v>
      </c>
      <c r="F323" t="s">
        <v>38</v>
      </c>
      <c r="G323" t="s">
        <v>44</v>
      </c>
      <c r="H323" t="s">
        <v>39</v>
      </c>
      <c r="I323">
        <v>52539</v>
      </c>
      <c r="J323" t="s">
        <v>250</v>
      </c>
      <c r="K323" t="s">
        <v>41</v>
      </c>
    </row>
    <row r="324" spans="1:11" x14ac:dyDescent="0.3">
      <c r="A324" t="s">
        <v>448</v>
      </c>
      <c r="B324">
        <v>2</v>
      </c>
      <c r="C324">
        <v>2</v>
      </c>
      <c r="D324">
        <v>2026</v>
      </c>
      <c r="E324" t="s">
        <v>37</v>
      </c>
      <c r="F324" t="s">
        <v>12</v>
      </c>
      <c r="G324" t="s">
        <v>44</v>
      </c>
      <c r="H324" t="s">
        <v>28</v>
      </c>
      <c r="I324">
        <v>49218</v>
      </c>
      <c r="J324" t="s">
        <v>77</v>
      </c>
      <c r="K324" t="s">
        <v>16</v>
      </c>
    </row>
    <row r="325" spans="1:11" x14ac:dyDescent="0.3">
      <c r="A325" t="s">
        <v>449</v>
      </c>
      <c r="B325">
        <v>16</v>
      </c>
      <c r="C325">
        <v>1</v>
      </c>
      <c r="D325">
        <v>2026</v>
      </c>
      <c r="E325" t="s">
        <v>60</v>
      </c>
      <c r="F325" t="s">
        <v>12</v>
      </c>
      <c r="G325" t="s">
        <v>27</v>
      </c>
      <c r="H325" t="s">
        <v>39</v>
      </c>
      <c r="I325">
        <v>31811</v>
      </c>
      <c r="J325" t="s">
        <v>224</v>
      </c>
      <c r="K325" t="s">
        <v>30</v>
      </c>
    </row>
    <row r="326" spans="1:11" x14ac:dyDescent="0.3">
      <c r="A326" t="s">
        <v>450</v>
      </c>
      <c r="B326">
        <v>4</v>
      </c>
      <c r="C326">
        <v>3</v>
      </c>
      <c r="D326">
        <v>2026</v>
      </c>
      <c r="E326" t="s">
        <v>37</v>
      </c>
      <c r="F326" t="s">
        <v>20</v>
      </c>
      <c r="G326" t="s">
        <v>21</v>
      </c>
      <c r="H326" t="s">
        <v>39</v>
      </c>
      <c r="I326">
        <v>16180</v>
      </c>
      <c r="J326" t="s">
        <v>84</v>
      </c>
      <c r="K326" t="s">
        <v>30</v>
      </c>
    </row>
    <row r="327" spans="1:11" x14ac:dyDescent="0.3">
      <c r="A327" t="s">
        <v>451</v>
      </c>
      <c r="B327">
        <v>20</v>
      </c>
      <c r="C327">
        <v>2</v>
      </c>
      <c r="D327">
        <v>2026</v>
      </c>
      <c r="E327" t="s">
        <v>60</v>
      </c>
      <c r="F327" t="s">
        <v>12</v>
      </c>
      <c r="G327" t="s">
        <v>13</v>
      </c>
      <c r="H327" t="s">
        <v>14</v>
      </c>
      <c r="I327">
        <v>67056</v>
      </c>
      <c r="J327" t="s">
        <v>93</v>
      </c>
      <c r="K327" t="s">
        <v>30</v>
      </c>
    </row>
    <row r="328" spans="1:11" x14ac:dyDescent="0.3">
      <c r="A328" t="s">
        <v>452</v>
      </c>
      <c r="B328">
        <v>18</v>
      </c>
      <c r="C328">
        <v>2</v>
      </c>
      <c r="D328">
        <v>2026</v>
      </c>
      <c r="E328" t="s">
        <v>60</v>
      </c>
      <c r="F328" t="s">
        <v>38</v>
      </c>
      <c r="G328" t="s">
        <v>44</v>
      </c>
      <c r="H328" t="s">
        <v>39</v>
      </c>
      <c r="I328">
        <v>66848</v>
      </c>
      <c r="J328" t="s">
        <v>240</v>
      </c>
      <c r="K328" t="s">
        <v>23</v>
      </c>
    </row>
    <row r="329" spans="1:11" x14ac:dyDescent="0.3">
      <c r="A329" t="s">
        <v>453</v>
      </c>
      <c r="B329">
        <v>14</v>
      </c>
      <c r="C329">
        <v>1</v>
      </c>
      <c r="D329">
        <v>2026</v>
      </c>
      <c r="E329" t="s">
        <v>11</v>
      </c>
      <c r="F329" t="s">
        <v>20</v>
      </c>
      <c r="G329" t="s">
        <v>27</v>
      </c>
      <c r="H329" t="s">
        <v>39</v>
      </c>
      <c r="I329">
        <v>76772</v>
      </c>
      <c r="J329" t="s">
        <v>202</v>
      </c>
      <c r="K329" t="s">
        <v>41</v>
      </c>
    </row>
    <row r="330" spans="1:11" x14ac:dyDescent="0.3">
      <c r="A330" t="s">
        <v>454</v>
      </c>
      <c r="B330">
        <v>8</v>
      </c>
      <c r="C330">
        <v>2</v>
      </c>
      <c r="D330">
        <v>2026</v>
      </c>
      <c r="E330" t="s">
        <v>19</v>
      </c>
      <c r="F330" t="s">
        <v>12</v>
      </c>
      <c r="G330" t="s">
        <v>21</v>
      </c>
      <c r="H330" t="s">
        <v>39</v>
      </c>
      <c r="I330">
        <v>51599</v>
      </c>
      <c r="J330" t="s">
        <v>91</v>
      </c>
      <c r="K330" t="s">
        <v>23</v>
      </c>
    </row>
    <row r="331" spans="1:11" x14ac:dyDescent="0.3">
      <c r="A331" t="s">
        <v>455</v>
      </c>
      <c r="B331">
        <v>1</v>
      </c>
      <c r="C331">
        <v>3</v>
      </c>
      <c r="D331">
        <v>2026</v>
      </c>
      <c r="E331" t="s">
        <v>37</v>
      </c>
      <c r="F331" t="s">
        <v>26</v>
      </c>
      <c r="G331" t="s">
        <v>21</v>
      </c>
      <c r="H331" t="s">
        <v>61</v>
      </c>
      <c r="I331">
        <v>69649</v>
      </c>
      <c r="J331" t="s">
        <v>53</v>
      </c>
      <c r="K331" t="s">
        <v>16</v>
      </c>
    </row>
    <row r="332" spans="1:11" x14ac:dyDescent="0.3">
      <c r="A332" t="s">
        <v>456</v>
      </c>
      <c r="B332">
        <v>20</v>
      </c>
      <c r="C332">
        <v>3</v>
      </c>
      <c r="D332">
        <v>2026</v>
      </c>
      <c r="E332" t="s">
        <v>60</v>
      </c>
      <c r="F332" t="s">
        <v>20</v>
      </c>
      <c r="G332" t="s">
        <v>21</v>
      </c>
      <c r="H332" t="s">
        <v>28</v>
      </c>
      <c r="I332">
        <v>47139</v>
      </c>
      <c r="J332" t="s">
        <v>164</v>
      </c>
      <c r="K332" t="s">
        <v>23</v>
      </c>
    </row>
    <row r="333" spans="1:11" x14ac:dyDescent="0.3">
      <c r="A333" t="s">
        <v>457</v>
      </c>
      <c r="B333">
        <v>5</v>
      </c>
      <c r="C333">
        <v>1</v>
      </c>
      <c r="D333">
        <v>2026</v>
      </c>
      <c r="E333" t="s">
        <v>11</v>
      </c>
      <c r="F333" t="s">
        <v>26</v>
      </c>
      <c r="G333" t="s">
        <v>13</v>
      </c>
      <c r="H333" t="s">
        <v>61</v>
      </c>
      <c r="I333">
        <v>59987</v>
      </c>
      <c r="J333" t="s">
        <v>155</v>
      </c>
      <c r="K333" t="s">
        <v>16</v>
      </c>
    </row>
    <row r="334" spans="1:11" x14ac:dyDescent="0.3">
      <c r="A334" t="s">
        <v>458</v>
      </c>
      <c r="B334">
        <v>14</v>
      </c>
      <c r="C334">
        <v>1</v>
      </c>
      <c r="D334">
        <v>2026</v>
      </c>
      <c r="E334" t="s">
        <v>33</v>
      </c>
      <c r="F334" t="s">
        <v>26</v>
      </c>
      <c r="G334" t="s">
        <v>13</v>
      </c>
      <c r="H334" t="s">
        <v>14</v>
      </c>
      <c r="I334">
        <v>38015</v>
      </c>
      <c r="J334" t="s">
        <v>224</v>
      </c>
      <c r="K334" t="s">
        <v>30</v>
      </c>
    </row>
    <row r="335" spans="1:11" x14ac:dyDescent="0.3">
      <c r="A335" t="s">
        <v>459</v>
      </c>
      <c r="B335">
        <v>12</v>
      </c>
      <c r="C335">
        <v>2</v>
      </c>
      <c r="D335">
        <v>2026</v>
      </c>
      <c r="E335" t="s">
        <v>37</v>
      </c>
      <c r="F335" t="s">
        <v>38</v>
      </c>
      <c r="G335" t="s">
        <v>27</v>
      </c>
      <c r="H335" t="s">
        <v>61</v>
      </c>
      <c r="I335">
        <v>12433</v>
      </c>
      <c r="J335" t="s">
        <v>185</v>
      </c>
      <c r="K335" t="s">
        <v>41</v>
      </c>
    </row>
    <row r="336" spans="1:11" x14ac:dyDescent="0.3">
      <c r="A336" t="s">
        <v>460</v>
      </c>
      <c r="B336">
        <v>12</v>
      </c>
      <c r="C336">
        <v>2</v>
      </c>
      <c r="D336">
        <v>2026</v>
      </c>
      <c r="E336" t="s">
        <v>37</v>
      </c>
      <c r="F336" t="s">
        <v>20</v>
      </c>
      <c r="G336" t="s">
        <v>13</v>
      </c>
      <c r="H336" t="s">
        <v>629</v>
      </c>
      <c r="I336">
        <v>31756</v>
      </c>
      <c r="J336" t="s">
        <v>50</v>
      </c>
      <c r="K336" t="s">
        <v>16</v>
      </c>
    </row>
    <row r="337" spans="1:11" x14ac:dyDescent="0.3">
      <c r="A337" t="s">
        <v>461</v>
      </c>
      <c r="B337">
        <v>19</v>
      </c>
      <c r="C337">
        <v>3</v>
      </c>
      <c r="D337">
        <v>2026</v>
      </c>
      <c r="E337" t="s">
        <v>11</v>
      </c>
      <c r="F337" t="s">
        <v>38</v>
      </c>
      <c r="G337" t="s">
        <v>27</v>
      </c>
      <c r="H337" t="s">
        <v>629</v>
      </c>
      <c r="I337">
        <v>28269</v>
      </c>
      <c r="J337" t="s">
        <v>221</v>
      </c>
      <c r="K337" t="s">
        <v>41</v>
      </c>
    </row>
    <row r="338" spans="1:11" x14ac:dyDescent="0.3">
      <c r="A338" t="s">
        <v>462</v>
      </c>
      <c r="B338">
        <v>7</v>
      </c>
      <c r="C338">
        <v>1</v>
      </c>
      <c r="D338">
        <v>2026</v>
      </c>
      <c r="E338" t="s">
        <v>37</v>
      </c>
      <c r="F338" t="s">
        <v>38</v>
      </c>
      <c r="G338" t="s">
        <v>27</v>
      </c>
      <c r="H338" t="s">
        <v>39</v>
      </c>
      <c r="I338">
        <v>7101</v>
      </c>
      <c r="J338" t="s">
        <v>137</v>
      </c>
      <c r="K338" t="s">
        <v>41</v>
      </c>
    </row>
    <row r="339" spans="1:11" x14ac:dyDescent="0.3">
      <c r="A339" t="s">
        <v>463</v>
      </c>
      <c r="B339">
        <v>26</v>
      </c>
      <c r="C339">
        <v>1</v>
      </c>
      <c r="D339">
        <v>2026</v>
      </c>
      <c r="E339" t="s">
        <v>19</v>
      </c>
      <c r="F339" t="s">
        <v>20</v>
      </c>
      <c r="G339" t="s">
        <v>27</v>
      </c>
      <c r="H339" t="s">
        <v>14</v>
      </c>
      <c r="I339">
        <v>22257</v>
      </c>
      <c r="J339" t="s">
        <v>29</v>
      </c>
      <c r="K339" t="s">
        <v>23</v>
      </c>
    </row>
    <row r="340" spans="1:11" x14ac:dyDescent="0.3">
      <c r="A340" t="s">
        <v>464</v>
      </c>
      <c r="B340">
        <v>5</v>
      </c>
      <c r="C340">
        <v>1</v>
      </c>
      <c r="D340">
        <v>2026</v>
      </c>
      <c r="E340" t="s">
        <v>11</v>
      </c>
      <c r="F340" t="s">
        <v>38</v>
      </c>
      <c r="G340" t="s">
        <v>44</v>
      </c>
      <c r="H340" t="s">
        <v>28</v>
      </c>
      <c r="I340">
        <v>67601</v>
      </c>
      <c r="J340" t="s">
        <v>297</v>
      </c>
      <c r="K340" t="s">
        <v>41</v>
      </c>
    </row>
    <row r="341" spans="1:11" x14ac:dyDescent="0.3">
      <c r="A341" t="s">
        <v>465</v>
      </c>
      <c r="B341">
        <v>9</v>
      </c>
      <c r="C341">
        <v>2</v>
      </c>
      <c r="D341">
        <v>2026</v>
      </c>
      <c r="E341" t="s">
        <v>19</v>
      </c>
      <c r="F341" t="s">
        <v>20</v>
      </c>
      <c r="G341" t="s">
        <v>13</v>
      </c>
      <c r="H341" t="s">
        <v>629</v>
      </c>
      <c r="I341">
        <v>67530</v>
      </c>
      <c r="J341" t="s">
        <v>77</v>
      </c>
      <c r="K341" t="s">
        <v>30</v>
      </c>
    </row>
    <row r="342" spans="1:11" x14ac:dyDescent="0.3">
      <c r="A342" t="s">
        <v>466</v>
      </c>
      <c r="B342">
        <v>1</v>
      </c>
      <c r="C342">
        <v>2</v>
      </c>
      <c r="D342">
        <v>2026</v>
      </c>
      <c r="E342" t="s">
        <v>11</v>
      </c>
      <c r="F342" t="s">
        <v>12</v>
      </c>
      <c r="G342" t="s">
        <v>44</v>
      </c>
      <c r="H342" t="s">
        <v>629</v>
      </c>
      <c r="I342">
        <v>27432</v>
      </c>
      <c r="J342" t="s">
        <v>130</v>
      </c>
      <c r="K342" t="s">
        <v>16</v>
      </c>
    </row>
    <row r="343" spans="1:11" x14ac:dyDescent="0.3">
      <c r="A343" t="s">
        <v>467</v>
      </c>
      <c r="B343">
        <v>9</v>
      </c>
      <c r="C343">
        <v>3</v>
      </c>
      <c r="D343">
        <v>2026</v>
      </c>
      <c r="E343" t="s">
        <v>37</v>
      </c>
      <c r="F343" t="s">
        <v>38</v>
      </c>
      <c r="G343" t="s">
        <v>21</v>
      </c>
      <c r="H343" t="s">
        <v>61</v>
      </c>
      <c r="I343">
        <v>70270</v>
      </c>
      <c r="J343" t="s">
        <v>192</v>
      </c>
      <c r="K343" t="s">
        <v>23</v>
      </c>
    </row>
    <row r="344" spans="1:11" x14ac:dyDescent="0.3">
      <c r="A344" t="s">
        <v>468</v>
      </c>
      <c r="B344">
        <v>1</v>
      </c>
      <c r="C344">
        <v>4</v>
      </c>
      <c r="D344">
        <v>2026</v>
      </c>
      <c r="E344" t="s">
        <v>37</v>
      </c>
      <c r="F344" t="s">
        <v>12</v>
      </c>
      <c r="G344" t="s">
        <v>27</v>
      </c>
      <c r="H344" t="s">
        <v>39</v>
      </c>
      <c r="I344">
        <v>26713</v>
      </c>
      <c r="J344" t="s">
        <v>469</v>
      </c>
      <c r="K344" t="s">
        <v>16</v>
      </c>
    </row>
    <row r="345" spans="1:11" x14ac:dyDescent="0.3">
      <c r="A345" t="s">
        <v>470</v>
      </c>
      <c r="B345">
        <v>3</v>
      </c>
      <c r="C345">
        <v>3</v>
      </c>
      <c r="D345">
        <v>2026</v>
      </c>
      <c r="E345" t="s">
        <v>60</v>
      </c>
      <c r="F345" t="s">
        <v>26</v>
      </c>
      <c r="G345" t="s">
        <v>13</v>
      </c>
      <c r="H345" t="s">
        <v>39</v>
      </c>
      <c r="I345">
        <v>77386</v>
      </c>
      <c r="J345" t="s">
        <v>54</v>
      </c>
      <c r="K345" t="s">
        <v>30</v>
      </c>
    </row>
    <row r="346" spans="1:11" x14ac:dyDescent="0.3">
      <c r="A346" t="s">
        <v>471</v>
      </c>
      <c r="B346">
        <v>16</v>
      </c>
      <c r="C346">
        <v>2</v>
      </c>
      <c r="D346">
        <v>2026</v>
      </c>
      <c r="E346" t="s">
        <v>11</v>
      </c>
      <c r="F346" t="s">
        <v>20</v>
      </c>
      <c r="G346" t="s">
        <v>13</v>
      </c>
      <c r="H346" t="s">
        <v>629</v>
      </c>
      <c r="I346">
        <v>32004</v>
      </c>
      <c r="J346" t="s">
        <v>160</v>
      </c>
      <c r="K346" t="s">
        <v>41</v>
      </c>
    </row>
    <row r="347" spans="1:11" x14ac:dyDescent="0.3">
      <c r="A347" t="s">
        <v>472</v>
      </c>
      <c r="B347">
        <v>3</v>
      </c>
      <c r="C347">
        <v>3</v>
      </c>
      <c r="D347">
        <v>2026</v>
      </c>
      <c r="E347" t="s">
        <v>11</v>
      </c>
      <c r="F347" t="s">
        <v>26</v>
      </c>
      <c r="G347" t="s">
        <v>27</v>
      </c>
      <c r="H347" t="s">
        <v>14</v>
      </c>
      <c r="I347">
        <v>63228</v>
      </c>
      <c r="J347" t="s">
        <v>75</v>
      </c>
      <c r="K347" t="s">
        <v>16</v>
      </c>
    </row>
    <row r="348" spans="1:11" x14ac:dyDescent="0.3">
      <c r="A348" t="s">
        <v>473</v>
      </c>
      <c r="B348">
        <v>21</v>
      </c>
      <c r="C348">
        <v>1</v>
      </c>
      <c r="D348">
        <v>2026</v>
      </c>
      <c r="E348" t="s">
        <v>11</v>
      </c>
      <c r="F348" t="s">
        <v>20</v>
      </c>
      <c r="G348" t="s">
        <v>44</v>
      </c>
      <c r="H348" t="s">
        <v>14</v>
      </c>
      <c r="I348">
        <v>59940</v>
      </c>
      <c r="J348" t="s">
        <v>15</v>
      </c>
      <c r="K348" t="s">
        <v>16</v>
      </c>
    </row>
    <row r="349" spans="1:11" x14ac:dyDescent="0.3">
      <c r="A349" t="s">
        <v>474</v>
      </c>
      <c r="B349">
        <v>4</v>
      </c>
      <c r="C349">
        <v>1</v>
      </c>
      <c r="D349">
        <v>2026</v>
      </c>
      <c r="E349" t="s">
        <v>33</v>
      </c>
      <c r="F349" t="s">
        <v>38</v>
      </c>
      <c r="G349" t="s">
        <v>21</v>
      </c>
      <c r="H349" t="s">
        <v>629</v>
      </c>
      <c r="I349">
        <v>36036</v>
      </c>
      <c r="J349" t="s">
        <v>173</v>
      </c>
      <c r="K349" t="s">
        <v>16</v>
      </c>
    </row>
    <row r="350" spans="1:11" x14ac:dyDescent="0.3">
      <c r="A350" t="s">
        <v>475</v>
      </c>
      <c r="B350">
        <v>19</v>
      </c>
      <c r="C350">
        <v>2</v>
      </c>
      <c r="D350">
        <v>2026</v>
      </c>
      <c r="E350" t="s">
        <v>11</v>
      </c>
      <c r="F350" t="s">
        <v>26</v>
      </c>
      <c r="G350" t="s">
        <v>13</v>
      </c>
      <c r="H350" t="s">
        <v>61</v>
      </c>
      <c r="I350">
        <v>22274</v>
      </c>
      <c r="J350" t="s">
        <v>151</v>
      </c>
      <c r="K350" t="s">
        <v>23</v>
      </c>
    </row>
    <row r="351" spans="1:11" x14ac:dyDescent="0.3">
      <c r="A351" t="s">
        <v>476</v>
      </c>
      <c r="B351">
        <v>4</v>
      </c>
      <c r="C351">
        <v>2</v>
      </c>
      <c r="D351">
        <v>2026</v>
      </c>
      <c r="E351" t="s">
        <v>11</v>
      </c>
      <c r="F351" t="s">
        <v>38</v>
      </c>
      <c r="G351" t="s">
        <v>27</v>
      </c>
      <c r="H351" t="s">
        <v>61</v>
      </c>
      <c r="I351">
        <v>32868</v>
      </c>
      <c r="J351" t="s">
        <v>62</v>
      </c>
      <c r="K351" t="s">
        <v>30</v>
      </c>
    </row>
    <row r="352" spans="1:11" x14ac:dyDescent="0.3">
      <c r="A352" t="s">
        <v>477</v>
      </c>
      <c r="B352">
        <v>8</v>
      </c>
      <c r="C352">
        <v>1</v>
      </c>
      <c r="D352">
        <v>2026</v>
      </c>
      <c r="E352" t="s">
        <v>19</v>
      </c>
      <c r="F352" t="s">
        <v>38</v>
      </c>
      <c r="G352" t="s">
        <v>13</v>
      </c>
      <c r="H352" t="s">
        <v>629</v>
      </c>
      <c r="I352">
        <v>45038</v>
      </c>
      <c r="J352" t="s">
        <v>297</v>
      </c>
      <c r="K352" t="s">
        <v>30</v>
      </c>
    </row>
    <row r="353" spans="1:11" x14ac:dyDescent="0.3">
      <c r="A353" t="s">
        <v>478</v>
      </c>
      <c r="B353">
        <v>5</v>
      </c>
      <c r="C353">
        <v>1</v>
      </c>
      <c r="D353">
        <v>2026</v>
      </c>
      <c r="E353" t="s">
        <v>33</v>
      </c>
      <c r="F353" t="s">
        <v>38</v>
      </c>
      <c r="G353" t="s">
        <v>13</v>
      </c>
      <c r="H353" t="s">
        <v>39</v>
      </c>
      <c r="I353">
        <v>14538</v>
      </c>
      <c r="J353" t="s">
        <v>136</v>
      </c>
      <c r="K353" t="s">
        <v>23</v>
      </c>
    </row>
    <row r="354" spans="1:11" x14ac:dyDescent="0.3">
      <c r="A354" t="s">
        <v>479</v>
      </c>
      <c r="B354">
        <v>18</v>
      </c>
      <c r="C354">
        <v>2</v>
      </c>
      <c r="D354">
        <v>2026</v>
      </c>
      <c r="E354" t="s">
        <v>11</v>
      </c>
      <c r="F354" t="s">
        <v>26</v>
      </c>
      <c r="G354" t="s">
        <v>27</v>
      </c>
      <c r="H354" t="s">
        <v>629</v>
      </c>
      <c r="I354">
        <v>58147</v>
      </c>
      <c r="J354" t="s">
        <v>96</v>
      </c>
      <c r="K354" t="s">
        <v>16</v>
      </c>
    </row>
    <row r="355" spans="1:11" x14ac:dyDescent="0.3">
      <c r="A355" t="s">
        <v>480</v>
      </c>
      <c r="B355">
        <v>22</v>
      </c>
      <c r="C355">
        <v>2</v>
      </c>
      <c r="D355">
        <v>2026</v>
      </c>
      <c r="E355" t="s">
        <v>37</v>
      </c>
      <c r="F355" t="s">
        <v>20</v>
      </c>
      <c r="G355" t="s">
        <v>21</v>
      </c>
      <c r="H355" t="s">
        <v>39</v>
      </c>
      <c r="I355">
        <v>28337</v>
      </c>
      <c r="J355" t="s">
        <v>127</v>
      </c>
      <c r="K355" t="s">
        <v>41</v>
      </c>
    </row>
    <row r="356" spans="1:11" x14ac:dyDescent="0.3">
      <c r="A356" t="s">
        <v>481</v>
      </c>
      <c r="B356">
        <v>18</v>
      </c>
      <c r="C356">
        <v>3</v>
      </c>
      <c r="D356">
        <v>2026</v>
      </c>
      <c r="E356" t="s">
        <v>11</v>
      </c>
      <c r="F356" t="s">
        <v>12</v>
      </c>
      <c r="G356" t="s">
        <v>27</v>
      </c>
      <c r="H356" t="s">
        <v>61</v>
      </c>
      <c r="I356">
        <v>32990</v>
      </c>
      <c r="J356" t="s">
        <v>332</v>
      </c>
      <c r="K356" t="s">
        <v>23</v>
      </c>
    </row>
    <row r="357" spans="1:11" x14ac:dyDescent="0.3">
      <c r="A357" t="s">
        <v>482</v>
      </c>
      <c r="B357">
        <v>8</v>
      </c>
      <c r="C357">
        <v>2</v>
      </c>
      <c r="D357">
        <v>2026</v>
      </c>
      <c r="E357" t="s">
        <v>11</v>
      </c>
      <c r="F357" t="s">
        <v>38</v>
      </c>
      <c r="G357" t="s">
        <v>27</v>
      </c>
      <c r="H357" t="s">
        <v>28</v>
      </c>
      <c r="I357">
        <v>20328</v>
      </c>
      <c r="J357" t="s">
        <v>134</v>
      </c>
      <c r="K357" t="s">
        <v>23</v>
      </c>
    </row>
    <row r="358" spans="1:11" x14ac:dyDescent="0.3">
      <c r="A358" t="s">
        <v>483</v>
      </c>
      <c r="B358">
        <v>5</v>
      </c>
      <c r="C358">
        <v>1</v>
      </c>
      <c r="D358">
        <v>2026</v>
      </c>
      <c r="E358" t="s">
        <v>19</v>
      </c>
      <c r="F358" t="s">
        <v>38</v>
      </c>
      <c r="G358" t="s">
        <v>13</v>
      </c>
      <c r="H358" t="s">
        <v>14</v>
      </c>
      <c r="I358">
        <v>78022</v>
      </c>
      <c r="J358" t="s">
        <v>22</v>
      </c>
      <c r="K358" t="s">
        <v>16</v>
      </c>
    </row>
    <row r="359" spans="1:11" x14ac:dyDescent="0.3">
      <c r="A359" t="s">
        <v>484</v>
      </c>
      <c r="B359">
        <v>13</v>
      </c>
      <c r="C359">
        <v>3</v>
      </c>
      <c r="D359">
        <v>2026</v>
      </c>
      <c r="E359" t="s">
        <v>60</v>
      </c>
      <c r="F359" t="s">
        <v>20</v>
      </c>
      <c r="G359" t="s">
        <v>27</v>
      </c>
      <c r="H359" t="s">
        <v>14</v>
      </c>
      <c r="I359">
        <v>13491</v>
      </c>
      <c r="J359" t="s">
        <v>86</v>
      </c>
      <c r="K359" t="s">
        <v>30</v>
      </c>
    </row>
    <row r="360" spans="1:11" x14ac:dyDescent="0.3">
      <c r="A360" t="s">
        <v>485</v>
      </c>
      <c r="B360">
        <v>22</v>
      </c>
      <c r="C360">
        <v>2</v>
      </c>
      <c r="D360">
        <v>2026</v>
      </c>
      <c r="E360" t="s">
        <v>11</v>
      </c>
      <c r="F360" t="s">
        <v>38</v>
      </c>
      <c r="G360" t="s">
        <v>44</v>
      </c>
      <c r="H360" t="s">
        <v>629</v>
      </c>
      <c r="I360">
        <v>68107</v>
      </c>
      <c r="J360" t="s">
        <v>160</v>
      </c>
      <c r="K360" t="s">
        <v>23</v>
      </c>
    </row>
    <row r="361" spans="1:11" x14ac:dyDescent="0.3">
      <c r="A361" t="s">
        <v>486</v>
      </c>
      <c r="B361">
        <v>2</v>
      </c>
      <c r="C361">
        <v>3</v>
      </c>
      <c r="D361">
        <v>2026</v>
      </c>
      <c r="E361" t="s">
        <v>19</v>
      </c>
      <c r="F361" t="s">
        <v>12</v>
      </c>
      <c r="G361" t="s">
        <v>27</v>
      </c>
      <c r="H361" t="s">
        <v>14</v>
      </c>
      <c r="I361">
        <v>16006</v>
      </c>
      <c r="J361" t="s">
        <v>84</v>
      </c>
      <c r="K361" t="s">
        <v>16</v>
      </c>
    </row>
    <row r="362" spans="1:11" x14ac:dyDescent="0.3">
      <c r="A362" t="s">
        <v>487</v>
      </c>
      <c r="B362">
        <v>6</v>
      </c>
      <c r="C362">
        <v>1</v>
      </c>
      <c r="D362">
        <v>2026</v>
      </c>
      <c r="E362" t="s">
        <v>60</v>
      </c>
      <c r="F362" t="s">
        <v>38</v>
      </c>
      <c r="G362" t="s">
        <v>21</v>
      </c>
      <c r="H362" t="s">
        <v>39</v>
      </c>
      <c r="I362">
        <v>42707</v>
      </c>
      <c r="J362" t="s">
        <v>297</v>
      </c>
      <c r="K362" t="s">
        <v>41</v>
      </c>
    </row>
    <row r="363" spans="1:11" x14ac:dyDescent="0.3">
      <c r="A363" t="s">
        <v>488</v>
      </c>
      <c r="B363">
        <v>11</v>
      </c>
      <c r="C363">
        <v>3</v>
      </c>
      <c r="D363">
        <v>2026</v>
      </c>
      <c r="E363" t="s">
        <v>19</v>
      </c>
      <c r="F363" t="s">
        <v>26</v>
      </c>
      <c r="G363" t="s">
        <v>13</v>
      </c>
      <c r="H363" t="s">
        <v>629</v>
      </c>
      <c r="I363">
        <v>61284</v>
      </c>
      <c r="J363" t="s">
        <v>34</v>
      </c>
      <c r="K363" t="s">
        <v>30</v>
      </c>
    </row>
    <row r="364" spans="1:11" x14ac:dyDescent="0.3">
      <c r="A364" t="s">
        <v>489</v>
      </c>
      <c r="B364">
        <v>25</v>
      </c>
      <c r="C364">
        <v>1</v>
      </c>
      <c r="D364">
        <v>2026</v>
      </c>
      <c r="E364" t="s">
        <v>60</v>
      </c>
      <c r="F364" t="s">
        <v>20</v>
      </c>
      <c r="G364" t="s">
        <v>44</v>
      </c>
      <c r="H364" t="s">
        <v>39</v>
      </c>
      <c r="I364">
        <v>47646</v>
      </c>
      <c r="J364" t="s">
        <v>59</v>
      </c>
      <c r="K364" t="s">
        <v>30</v>
      </c>
    </row>
    <row r="365" spans="1:11" x14ac:dyDescent="0.3">
      <c r="A365" t="s">
        <v>490</v>
      </c>
      <c r="B365">
        <v>26</v>
      </c>
      <c r="C365">
        <v>2</v>
      </c>
      <c r="D365">
        <v>2026</v>
      </c>
      <c r="E365" t="s">
        <v>19</v>
      </c>
      <c r="F365" t="s">
        <v>12</v>
      </c>
      <c r="G365" t="s">
        <v>13</v>
      </c>
      <c r="H365" t="s">
        <v>14</v>
      </c>
      <c r="I365">
        <v>35506</v>
      </c>
      <c r="J365" t="s">
        <v>32</v>
      </c>
      <c r="K365" t="s">
        <v>30</v>
      </c>
    </row>
    <row r="366" spans="1:11" x14ac:dyDescent="0.3">
      <c r="A366" t="s">
        <v>491</v>
      </c>
      <c r="B366">
        <v>14</v>
      </c>
      <c r="C366">
        <v>2</v>
      </c>
      <c r="D366">
        <v>2026</v>
      </c>
      <c r="E366" t="s">
        <v>11</v>
      </c>
      <c r="F366" t="s">
        <v>26</v>
      </c>
      <c r="G366" t="s">
        <v>21</v>
      </c>
      <c r="H366" t="s">
        <v>28</v>
      </c>
      <c r="I366">
        <v>6122</v>
      </c>
      <c r="J366" t="s">
        <v>190</v>
      </c>
      <c r="K366" t="s">
        <v>16</v>
      </c>
    </row>
    <row r="367" spans="1:11" x14ac:dyDescent="0.3">
      <c r="A367" t="s">
        <v>492</v>
      </c>
      <c r="B367">
        <v>2</v>
      </c>
      <c r="C367">
        <v>1</v>
      </c>
      <c r="D367">
        <v>2026</v>
      </c>
      <c r="E367" t="s">
        <v>11</v>
      </c>
      <c r="F367" t="s">
        <v>26</v>
      </c>
      <c r="G367" t="s">
        <v>13</v>
      </c>
      <c r="H367" t="s">
        <v>61</v>
      </c>
      <c r="I367">
        <v>57782</v>
      </c>
      <c r="J367" t="s">
        <v>297</v>
      </c>
      <c r="K367" t="s">
        <v>23</v>
      </c>
    </row>
    <row r="368" spans="1:11" x14ac:dyDescent="0.3">
      <c r="A368" t="s">
        <v>493</v>
      </c>
      <c r="B368">
        <v>6</v>
      </c>
      <c r="C368">
        <v>3</v>
      </c>
      <c r="D368">
        <v>2026</v>
      </c>
      <c r="E368" t="s">
        <v>37</v>
      </c>
      <c r="F368" t="s">
        <v>38</v>
      </c>
      <c r="G368" t="s">
        <v>44</v>
      </c>
      <c r="H368" t="s">
        <v>629</v>
      </c>
      <c r="I368">
        <v>63258</v>
      </c>
      <c r="J368" t="s">
        <v>192</v>
      </c>
      <c r="K368" t="s">
        <v>41</v>
      </c>
    </row>
    <row r="369" spans="1:11" x14ac:dyDescent="0.3">
      <c r="A369" t="s">
        <v>494</v>
      </c>
      <c r="B369">
        <v>8</v>
      </c>
      <c r="C369">
        <v>2</v>
      </c>
      <c r="D369">
        <v>2026</v>
      </c>
      <c r="E369" t="s">
        <v>60</v>
      </c>
      <c r="F369" t="s">
        <v>26</v>
      </c>
      <c r="G369" t="s">
        <v>44</v>
      </c>
      <c r="H369" t="s">
        <v>629</v>
      </c>
      <c r="I369">
        <v>19424</v>
      </c>
      <c r="J369" t="s">
        <v>91</v>
      </c>
      <c r="K369" t="s">
        <v>30</v>
      </c>
    </row>
    <row r="370" spans="1:11" x14ac:dyDescent="0.3">
      <c r="A370" t="s">
        <v>495</v>
      </c>
      <c r="B370">
        <v>11</v>
      </c>
      <c r="C370">
        <v>2</v>
      </c>
      <c r="D370">
        <v>2026</v>
      </c>
      <c r="E370" t="s">
        <v>60</v>
      </c>
      <c r="F370" t="s">
        <v>38</v>
      </c>
      <c r="G370" t="s">
        <v>13</v>
      </c>
      <c r="H370" t="s">
        <v>39</v>
      </c>
      <c r="I370">
        <v>71139</v>
      </c>
      <c r="J370" t="s">
        <v>185</v>
      </c>
      <c r="K370" t="s">
        <v>16</v>
      </c>
    </row>
    <row r="371" spans="1:11" x14ac:dyDescent="0.3">
      <c r="A371" t="s">
        <v>496</v>
      </c>
      <c r="B371">
        <v>1</v>
      </c>
      <c r="C371">
        <v>2</v>
      </c>
      <c r="D371">
        <v>2026</v>
      </c>
      <c r="E371" t="s">
        <v>33</v>
      </c>
      <c r="F371" t="s">
        <v>38</v>
      </c>
      <c r="G371" t="s">
        <v>27</v>
      </c>
      <c r="H371" t="s">
        <v>28</v>
      </c>
      <c r="I371">
        <v>60987</v>
      </c>
      <c r="J371" t="s">
        <v>130</v>
      </c>
      <c r="K371" t="s">
        <v>41</v>
      </c>
    </row>
    <row r="372" spans="1:11" x14ac:dyDescent="0.3">
      <c r="A372" t="s">
        <v>497</v>
      </c>
      <c r="B372">
        <v>20</v>
      </c>
      <c r="C372">
        <v>2</v>
      </c>
      <c r="D372">
        <v>2026</v>
      </c>
      <c r="E372" t="s">
        <v>37</v>
      </c>
      <c r="F372" t="s">
        <v>38</v>
      </c>
      <c r="G372" t="s">
        <v>13</v>
      </c>
      <c r="H372" t="s">
        <v>14</v>
      </c>
      <c r="I372">
        <v>70774</v>
      </c>
      <c r="J372" t="s">
        <v>51</v>
      </c>
      <c r="K372" t="s">
        <v>30</v>
      </c>
    </row>
    <row r="373" spans="1:11" x14ac:dyDescent="0.3">
      <c r="A373" t="s">
        <v>498</v>
      </c>
      <c r="B373">
        <v>28</v>
      </c>
      <c r="C373">
        <v>1</v>
      </c>
      <c r="D373">
        <v>2026</v>
      </c>
      <c r="E373" t="s">
        <v>60</v>
      </c>
      <c r="F373" t="s">
        <v>20</v>
      </c>
      <c r="G373" t="s">
        <v>21</v>
      </c>
      <c r="H373" t="s">
        <v>61</v>
      </c>
      <c r="I373">
        <v>36055</v>
      </c>
      <c r="J373" t="s">
        <v>203</v>
      </c>
      <c r="K373" t="s">
        <v>16</v>
      </c>
    </row>
    <row r="374" spans="1:11" x14ac:dyDescent="0.3">
      <c r="A374" t="s">
        <v>499</v>
      </c>
      <c r="B374">
        <v>2</v>
      </c>
      <c r="C374">
        <v>1</v>
      </c>
      <c r="D374">
        <v>2026</v>
      </c>
      <c r="E374" t="s">
        <v>33</v>
      </c>
      <c r="F374" t="s">
        <v>26</v>
      </c>
      <c r="G374" t="s">
        <v>27</v>
      </c>
      <c r="H374" t="s">
        <v>629</v>
      </c>
      <c r="I374">
        <v>31450</v>
      </c>
      <c r="J374" t="s">
        <v>88</v>
      </c>
      <c r="K374" t="s">
        <v>30</v>
      </c>
    </row>
    <row r="375" spans="1:11" x14ac:dyDescent="0.3">
      <c r="A375" t="s">
        <v>500</v>
      </c>
      <c r="B375">
        <v>26</v>
      </c>
      <c r="C375">
        <v>1</v>
      </c>
      <c r="D375">
        <v>2026</v>
      </c>
      <c r="E375" t="s">
        <v>60</v>
      </c>
      <c r="F375" t="s">
        <v>38</v>
      </c>
      <c r="G375" t="s">
        <v>21</v>
      </c>
      <c r="H375" t="s">
        <v>14</v>
      </c>
      <c r="I375">
        <v>61815</v>
      </c>
      <c r="J375" t="s">
        <v>15</v>
      </c>
      <c r="K375" t="s">
        <v>16</v>
      </c>
    </row>
    <row r="376" spans="1:11" x14ac:dyDescent="0.3">
      <c r="A376" t="s">
        <v>501</v>
      </c>
      <c r="B376">
        <v>14</v>
      </c>
      <c r="C376">
        <v>2</v>
      </c>
      <c r="D376">
        <v>2026</v>
      </c>
      <c r="E376" t="s">
        <v>60</v>
      </c>
      <c r="F376" t="s">
        <v>26</v>
      </c>
      <c r="G376" t="s">
        <v>27</v>
      </c>
      <c r="H376" t="s">
        <v>28</v>
      </c>
      <c r="I376">
        <v>39902</v>
      </c>
      <c r="J376" t="s">
        <v>51</v>
      </c>
      <c r="K376" t="s">
        <v>16</v>
      </c>
    </row>
    <row r="377" spans="1:11" x14ac:dyDescent="0.3">
      <c r="A377" t="s">
        <v>502</v>
      </c>
      <c r="B377">
        <v>17</v>
      </c>
      <c r="C377">
        <v>2</v>
      </c>
      <c r="D377">
        <v>2026</v>
      </c>
      <c r="E377" t="s">
        <v>60</v>
      </c>
      <c r="F377" t="s">
        <v>26</v>
      </c>
      <c r="G377" t="s">
        <v>21</v>
      </c>
      <c r="H377" t="s">
        <v>39</v>
      </c>
      <c r="I377">
        <v>59100</v>
      </c>
      <c r="J377" t="s">
        <v>250</v>
      </c>
      <c r="K377" t="s">
        <v>23</v>
      </c>
    </row>
    <row r="378" spans="1:11" x14ac:dyDescent="0.3">
      <c r="A378" t="s">
        <v>503</v>
      </c>
      <c r="B378">
        <v>30</v>
      </c>
      <c r="C378">
        <v>3</v>
      </c>
      <c r="D378">
        <v>2026</v>
      </c>
      <c r="E378" t="s">
        <v>33</v>
      </c>
      <c r="F378" t="s">
        <v>26</v>
      </c>
      <c r="G378" t="s">
        <v>21</v>
      </c>
      <c r="H378" t="s">
        <v>61</v>
      </c>
      <c r="I378">
        <v>71015</v>
      </c>
      <c r="J378" t="s">
        <v>183</v>
      </c>
      <c r="K378" t="s">
        <v>23</v>
      </c>
    </row>
    <row r="379" spans="1:11" x14ac:dyDescent="0.3">
      <c r="A379" t="s">
        <v>504</v>
      </c>
      <c r="B379">
        <v>12</v>
      </c>
      <c r="C379">
        <v>2</v>
      </c>
      <c r="D379">
        <v>2026</v>
      </c>
      <c r="E379" t="s">
        <v>60</v>
      </c>
      <c r="F379" t="s">
        <v>38</v>
      </c>
      <c r="G379" t="s">
        <v>21</v>
      </c>
      <c r="H379" t="s">
        <v>61</v>
      </c>
      <c r="I379">
        <v>18490</v>
      </c>
      <c r="J379" t="s">
        <v>250</v>
      </c>
      <c r="K379" t="s">
        <v>41</v>
      </c>
    </row>
    <row r="380" spans="1:11" x14ac:dyDescent="0.3">
      <c r="A380" t="s">
        <v>505</v>
      </c>
      <c r="B380">
        <v>5</v>
      </c>
      <c r="C380">
        <v>2</v>
      </c>
      <c r="D380">
        <v>2026</v>
      </c>
      <c r="E380" t="s">
        <v>33</v>
      </c>
      <c r="F380" t="s">
        <v>12</v>
      </c>
      <c r="G380" t="s">
        <v>21</v>
      </c>
      <c r="H380" t="s">
        <v>61</v>
      </c>
      <c r="I380">
        <v>24253</v>
      </c>
      <c r="J380" t="s">
        <v>134</v>
      </c>
      <c r="K380" t="s">
        <v>23</v>
      </c>
    </row>
    <row r="381" spans="1:11" x14ac:dyDescent="0.3">
      <c r="A381" t="s">
        <v>506</v>
      </c>
      <c r="B381">
        <v>25</v>
      </c>
      <c r="C381">
        <v>2</v>
      </c>
      <c r="D381">
        <v>2026</v>
      </c>
      <c r="E381" t="s">
        <v>11</v>
      </c>
      <c r="F381" t="s">
        <v>20</v>
      </c>
      <c r="G381" t="s">
        <v>27</v>
      </c>
      <c r="H381" t="s">
        <v>629</v>
      </c>
      <c r="I381">
        <v>13297</v>
      </c>
      <c r="J381" t="s">
        <v>75</v>
      </c>
      <c r="K381" t="s">
        <v>41</v>
      </c>
    </row>
    <row r="382" spans="1:11" x14ac:dyDescent="0.3">
      <c r="A382" t="s">
        <v>507</v>
      </c>
      <c r="B382">
        <v>27</v>
      </c>
      <c r="C382">
        <v>1</v>
      </c>
      <c r="D382">
        <v>2026</v>
      </c>
      <c r="E382" t="s">
        <v>11</v>
      </c>
      <c r="F382" t="s">
        <v>12</v>
      </c>
      <c r="G382" t="s">
        <v>44</v>
      </c>
      <c r="H382" t="s">
        <v>61</v>
      </c>
      <c r="I382">
        <v>14512</v>
      </c>
      <c r="J382" t="s">
        <v>59</v>
      </c>
      <c r="K382" t="s">
        <v>16</v>
      </c>
    </row>
    <row r="383" spans="1:11" x14ac:dyDescent="0.3">
      <c r="A383" t="s">
        <v>508</v>
      </c>
      <c r="B383">
        <v>24</v>
      </c>
      <c r="C383">
        <v>3</v>
      </c>
      <c r="D383">
        <v>2026</v>
      </c>
      <c r="E383" t="s">
        <v>19</v>
      </c>
      <c r="F383" t="s">
        <v>12</v>
      </c>
      <c r="G383" t="s">
        <v>13</v>
      </c>
      <c r="H383" t="s">
        <v>14</v>
      </c>
      <c r="I383">
        <v>22458</v>
      </c>
      <c r="J383" t="s">
        <v>262</v>
      </c>
      <c r="K383" t="s">
        <v>41</v>
      </c>
    </row>
    <row r="384" spans="1:11" x14ac:dyDescent="0.3">
      <c r="A384" t="s">
        <v>509</v>
      </c>
      <c r="B384">
        <v>6</v>
      </c>
      <c r="C384">
        <v>2</v>
      </c>
      <c r="D384">
        <v>2026</v>
      </c>
      <c r="E384" t="s">
        <v>33</v>
      </c>
      <c r="F384" t="s">
        <v>12</v>
      </c>
      <c r="G384" t="s">
        <v>13</v>
      </c>
      <c r="H384" t="s">
        <v>39</v>
      </c>
      <c r="I384">
        <v>30937</v>
      </c>
      <c r="J384" t="s">
        <v>185</v>
      </c>
      <c r="K384" t="s">
        <v>30</v>
      </c>
    </row>
    <row r="385" spans="1:11" x14ac:dyDescent="0.3">
      <c r="A385" t="s">
        <v>510</v>
      </c>
      <c r="B385">
        <v>5</v>
      </c>
      <c r="C385">
        <v>3</v>
      </c>
      <c r="D385">
        <v>2026</v>
      </c>
      <c r="E385" t="s">
        <v>11</v>
      </c>
      <c r="F385" t="s">
        <v>26</v>
      </c>
      <c r="G385" t="s">
        <v>13</v>
      </c>
      <c r="H385" t="s">
        <v>39</v>
      </c>
      <c r="I385">
        <v>37875</v>
      </c>
      <c r="J385" t="s">
        <v>54</v>
      </c>
      <c r="K385" t="s">
        <v>41</v>
      </c>
    </row>
    <row r="386" spans="1:11" x14ac:dyDescent="0.3">
      <c r="A386" t="s">
        <v>511</v>
      </c>
      <c r="B386">
        <v>27</v>
      </c>
      <c r="C386">
        <v>2</v>
      </c>
      <c r="D386">
        <v>2026</v>
      </c>
      <c r="E386" t="s">
        <v>37</v>
      </c>
      <c r="F386" t="s">
        <v>12</v>
      </c>
      <c r="G386" t="s">
        <v>27</v>
      </c>
      <c r="H386" t="s">
        <v>28</v>
      </c>
      <c r="I386">
        <v>18542</v>
      </c>
      <c r="J386" t="s">
        <v>325</v>
      </c>
      <c r="K386" t="s">
        <v>41</v>
      </c>
    </row>
    <row r="387" spans="1:11" x14ac:dyDescent="0.3">
      <c r="A387" t="s">
        <v>512</v>
      </c>
      <c r="B387">
        <v>10</v>
      </c>
      <c r="C387">
        <v>1</v>
      </c>
      <c r="D387">
        <v>2026</v>
      </c>
      <c r="E387" t="s">
        <v>19</v>
      </c>
      <c r="F387" t="s">
        <v>20</v>
      </c>
      <c r="G387" t="s">
        <v>21</v>
      </c>
      <c r="H387" t="s">
        <v>14</v>
      </c>
      <c r="I387">
        <v>27879</v>
      </c>
      <c r="J387" t="s">
        <v>136</v>
      </c>
      <c r="K387" t="s">
        <v>23</v>
      </c>
    </row>
    <row r="388" spans="1:11" x14ac:dyDescent="0.3">
      <c r="A388" t="s">
        <v>513</v>
      </c>
      <c r="B388">
        <v>16</v>
      </c>
      <c r="C388">
        <v>2</v>
      </c>
      <c r="D388">
        <v>2026</v>
      </c>
      <c r="E388" t="s">
        <v>19</v>
      </c>
      <c r="F388" t="s">
        <v>12</v>
      </c>
      <c r="G388" t="s">
        <v>27</v>
      </c>
      <c r="H388" t="s">
        <v>39</v>
      </c>
      <c r="I388">
        <v>51865</v>
      </c>
      <c r="J388" t="s">
        <v>126</v>
      </c>
      <c r="K388" t="s">
        <v>16</v>
      </c>
    </row>
    <row r="389" spans="1:11" x14ac:dyDescent="0.3">
      <c r="A389" t="s">
        <v>514</v>
      </c>
      <c r="B389">
        <v>24</v>
      </c>
      <c r="C389">
        <v>1</v>
      </c>
      <c r="D389">
        <v>2026</v>
      </c>
      <c r="E389" t="s">
        <v>37</v>
      </c>
      <c r="F389" t="s">
        <v>20</v>
      </c>
      <c r="G389" t="s">
        <v>21</v>
      </c>
      <c r="H389" t="s">
        <v>14</v>
      </c>
      <c r="I389">
        <v>50198</v>
      </c>
      <c r="J389" t="s">
        <v>106</v>
      </c>
      <c r="K389" t="s">
        <v>41</v>
      </c>
    </row>
    <row r="390" spans="1:11" x14ac:dyDescent="0.3">
      <c r="A390" t="s">
        <v>515</v>
      </c>
      <c r="B390">
        <v>24</v>
      </c>
      <c r="C390">
        <v>2</v>
      </c>
      <c r="D390">
        <v>2026</v>
      </c>
      <c r="E390" t="s">
        <v>60</v>
      </c>
      <c r="F390" t="s">
        <v>26</v>
      </c>
      <c r="G390" t="s">
        <v>13</v>
      </c>
      <c r="H390" t="s">
        <v>629</v>
      </c>
      <c r="I390">
        <v>50436</v>
      </c>
      <c r="J390" t="s">
        <v>160</v>
      </c>
      <c r="K390" t="s">
        <v>23</v>
      </c>
    </row>
    <row r="391" spans="1:11" x14ac:dyDescent="0.3">
      <c r="A391" t="s">
        <v>516</v>
      </c>
      <c r="B391">
        <v>4</v>
      </c>
      <c r="C391">
        <v>3</v>
      </c>
      <c r="D391">
        <v>2026</v>
      </c>
      <c r="E391" t="s">
        <v>60</v>
      </c>
      <c r="F391" t="s">
        <v>26</v>
      </c>
      <c r="G391" t="s">
        <v>44</v>
      </c>
      <c r="H391" t="s">
        <v>39</v>
      </c>
      <c r="I391">
        <v>15763</v>
      </c>
      <c r="J391" t="s">
        <v>84</v>
      </c>
      <c r="K391" t="s">
        <v>41</v>
      </c>
    </row>
    <row r="392" spans="1:11" x14ac:dyDescent="0.3">
      <c r="A392" t="s">
        <v>517</v>
      </c>
      <c r="B392">
        <v>14</v>
      </c>
      <c r="C392">
        <v>1</v>
      </c>
      <c r="D392">
        <v>2026</v>
      </c>
      <c r="E392" t="s">
        <v>19</v>
      </c>
      <c r="F392" t="s">
        <v>20</v>
      </c>
      <c r="G392" t="s">
        <v>13</v>
      </c>
      <c r="H392" t="s">
        <v>39</v>
      </c>
      <c r="I392">
        <v>61088</v>
      </c>
      <c r="J392" t="s">
        <v>140</v>
      </c>
      <c r="K392" t="s">
        <v>16</v>
      </c>
    </row>
    <row r="393" spans="1:11" x14ac:dyDescent="0.3">
      <c r="A393" t="s">
        <v>518</v>
      </c>
      <c r="B393">
        <v>11</v>
      </c>
      <c r="C393">
        <v>2</v>
      </c>
      <c r="D393">
        <v>2026</v>
      </c>
      <c r="E393" t="s">
        <v>11</v>
      </c>
      <c r="F393" t="s">
        <v>20</v>
      </c>
      <c r="G393" t="s">
        <v>13</v>
      </c>
      <c r="H393" t="s">
        <v>61</v>
      </c>
      <c r="I393">
        <v>72183</v>
      </c>
      <c r="J393" t="s">
        <v>190</v>
      </c>
      <c r="K393" t="s">
        <v>23</v>
      </c>
    </row>
    <row r="394" spans="1:11" x14ac:dyDescent="0.3">
      <c r="A394" t="s">
        <v>519</v>
      </c>
      <c r="B394">
        <v>24</v>
      </c>
      <c r="C394">
        <v>2</v>
      </c>
      <c r="D394">
        <v>2026</v>
      </c>
      <c r="E394" t="s">
        <v>37</v>
      </c>
      <c r="F394" t="s">
        <v>20</v>
      </c>
      <c r="G394" t="s">
        <v>13</v>
      </c>
      <c r="H394" t="s">
        <v>28</v>
      </c>
      <c r="I394">
        <v>7848</v>
      </c>
      <c r="J394" t="s">
        <v>151</v>
      </c>
      <c r="K394" t="s">
        <v>16</v>
      </c>
    </row>
    <row r="395" spans="1:11" x14ac:dyDescent="0.3">
      <c r="A395" t="s">
        <v>520</v>
      </c>
      <c r="B395">
        <v>10</v>
      </c>
      <c r="C395">
        <v>2</v>
      </c>
      <c r="D395">
        <v>2026</v>
      </c>
      <c r="E395" t="s">
        <v>11</v>
      </c>
      <c r="F395" t="s">
        <v>26</v>
      </c>
      <c r="G395" t="s">
        <v>21</v>
      </c>
      <c r="H395" t="s">
        <v>61</v>
      </c>
      <c r="I395">
        <v>14295</v>
      </c>
      <c r="J395" t="s">
        <v>43</v>
      </c>
      <c r="K395" t="s">
        <v>41</v>
      </c>
    </row>
    <row r="396" spans="1:11" x14ac:dyDescent="0.3">
      <c r="A396" t="s">
        <v>521</v>
      </c>
      <c r="B396">
        <v>13</v>
      </c>
      <c r="C396">
        <v>1</v>
      </c>
      <c r="D396">
        <v>2026</v>
      </c>
      <c r="E396" t="s">
        <v>60</v>
      </c>
      <c r="F396" t="s">
        <v>26</v>
      </c>
      <c r="G396" t="s">
        <v>13</v>
      </c>
      <c r="H396" t="s">
        <v>61</v>
      </c>
      <c r="I396">
        <v>22936</v>
      </c>
      <c r="J396" t="s">
        <v>224</v>
      </c>
      <c r="K396" t="s">
        <v>23</v>
      </c>
    </row>
    <row r="397" spans="1:11" x14ac:dyDescent="0.3">
      <c r="A397" t="s">
        <v>522</v>
      </c>
      <c r="B397">
        <v>27</v>
      </c>
      <c r="C397">
        <v>2</v>
      </c>
      <c r="D397">
        <v>2026</v>
      </c>
      <c r="E397" t="s">
        <v>11</v>
      </c>
      <c r="F397" t="s">
        <v>20</v>
      </c>
      <c r="G397" t="s">
        <v>13</v>
      </c>
      <c r="H397" t="s">
        <v>39</v>
      </c>
      <c r="I397">
        <v>17326</v>
      </c>
      <c r="J397" t="s">
        <v>32</v>
      </c>
      <c r="K397" t="s">
        <v>16</v>
      </c>
    </row>
    <row r="398" spans="1:11" x14ac:dyDescent="0.3">
      <c r="A398" t="s">
        <v>523</v>
      </c>
      <c r="B398">
        <v>17</v>
      </c>
      <c r="C398">
        <v>3</v>
      </c>
      <c r="D398">
        <v>2026</v>
      </c>
      <c r="E398" t="s">
        <v>60</v>
      </c>
      <c r="F398" t="s">
        <v>12</v>
      </c>
      <c r="G398" t="s">
        <v>21</v>
      </c>
      <c r="H398" t="s">
        <v>28</v>
      </c>
      <c r="I398">
        <v>71489</v>
      </c>
      <c r="J398" t="s">
        <v>110</v>
      </c>
      <c r="K398" t="s">
        <v>41</v>
      </c>
    </row>
    <row r="399" spans="1:11" x14ac:dyDescent="0.3">
      <c r="A399" t="s">
        <v>524</v>
      </c>
      <c r="B399">
        <v>26</v>
      </c>
      <c r="C399">
        <v>2</v>
      </c>
      <c r="D399">
        <v>2026</v>
      </c>
      <c r="E399" t="s">
        <v>19</v>
      </c>
      <c r="F399" t="s">
        <v>38</v>
      </c>
      <c r="G399" t="s">
        <v>27</v>
      </c>
      <c r="H399" t="s">
        <v>28</v>
      </c>
      <c r="I399">
        <v>31301</v>
      </c>
      <c r="J399" t="s">
        <v>75</v>
      </c>
      <c r="K399" t="s">
        <v>30</v>
      </c>
    </row>
    <row r="400" spans="1:11" x14ac:dyDescent="0.3">
      <c r="A400" t="s">
        <v>525</v>
      </c>
      <c r="B400">
        <v>6</v>
      </c>
      <c r="C400">
        <v>1</v>
      </c>
      <c r="D400">
        <v>2026</v>
      </c>
      <c r="E400" t="s">
        <v>11</v>
      </c>
      <c r="F400" t="s">
        <v>26</v>
      </c>
      <c r="G400" t="s">
        <v>27</v>
      </c>
      <c r="H400" t="s">
        <v>629</v>
      </c>
      <c r="I400">
        <v>65278</v>
      </c>
      <c r="J400" t="s">
        <v>22</v>
      </c>
      <c r="K400" t="s">
        <v>30</v>
      </c>
    </row>
    <row r="401" spans="1:11" x14ac:dyDescent="0.3">
      <c r="A401" t="s">
        <v>526</v>
      </c>
      <c r="B401">
        <v>3</v>
      </c>
      <c r="C401">
        <v>1</v>
      </c>
      <c r="D401">
        <v>2026</v>
      </c>
      <c r="E401" t="s">
        <v>11</v>
      </c>
      <c r="F401" t="s">
        <v>12</v>
      </c>
      <c r="G401" t="s">
        <v>27</v>
      </c>
      <c r="H401" t="s">
        <v>14</v>
      </c>
      <c r="I401">
        <v>79497</v>
      </c>
      <c r="J401" t="s">
        <v>195</v>
      </c>
      <c r="K401" t="s">
        <v>16</v>
      </c>
    </row>
    <row r="402" spans="1:11" x14ac:dyDescent="0.3">
      <c r="A402" t="s">
        <v>527</v>
      </c>
      <c r="B402">
        <v>25</v>
      </c>
      <c r="C402">
        <v>1</v>
      </c>
      <c r="D402">
        <v>2026</v>
      </c>
      <c r="E402" t="s">
        <v>33</v>
      </c>
      <c r="F402" t="s">
        <v>12</v>
      </c>
      <c r="G402" t="s">
        <v>21</v>
      </c>
      <c r="H402" t="s">
        <v>61</v>
      </c>
      <c r="I402">
        <v>50405</v>
      </c>
      <c r="J402" t="s">
        <v>106</v>
      </c>
      <c r="K402" t="s">
        <v>41</v>
      </c>
    </row>
    <row r="403" spans="1:11" x14ac:dyDescent="0.3">
      <c r="A403" t="s">
        <v>528</v>
      </c>
      <c r="B403">
        <v>3</v>
      </c>
      <c r="C403">
        <v>1</v>
      </c>
      <c r="D403">
        <v>2026</v>
      </c>
      <c r="E403" t="s">
        <v>37</v>
      </c>
      <c r="F403" t="s">
        <v>20</v>
      </c>
      <c r="G403" t="s">
        <v>44</v>
      </c>
      <c r="H403" t="s">
        <v>629</v>
      </c>
      <c r="I403">
        <v>66921</v>
      </c>
      <c r="J403" t="s">
        <v>155</v>
      </c>
      <c r="K403" t="s">
        <v>41</v>
      </c>
    </row>
    <row r="404" spans="1:11" x14ac:dyDescent="0.3">
      <c r="A404" t="s">
        <v>529</v>
      </c>
      <c r="B404">
        <v>9</v>
      </c>
      <c r="C404">
        <v>3</v>
      </c>
      <c r="D404">
        <v>2026</v>
      </c>
      <c r="E404" t="s">
        <v>33</v>
      </c>
      <c r="F404" t="s">
        <v>12</v>
      </c>
      <c r="G404" t="s">
        <v>13</v>
      </c>
      <c r="H404" t="s">
        <v>39</v>
      </c>
      <c r="I404">
        <v>53246</v>
      </c>
      <c r="J404" t="s">
        <v>34</v>
      </c>
      <c r="K404" t="s">
        <v>16</v>
      </c>
    </row>
    <row r="405" spans="1:11" x14ac:dyDescent="0.3">
      <c r="A405" t="s">
        <v>530</v>
      </c>
      <c r="B405">
        <v>19</v>
      </c>
      <c r="C405">
        <v>3</v>
      </c>
      <c r="D405">
        <v>2026</v>
      </c>
      <c r="E405" t="s">
        <v>19</v>
      </c>
      <c r="F405" t="s">
        <v>12</v>
      </c>
      <c r="G405" t="s">
        <v>27</v>
      </c>
      <c r="H405" t="s">
        <v>61</v>
      </c>
      <c r="I405">
        <v>51352</v>
      </c>
      <c r="J405" t="s">
        <v>70</v>
      </c>
      <c r="K405" t="s">
        <v>30</v>
      </c>
    </row>
    <row r="406" spans="1:11" x14ac:dyDescent="0.3">
      <c r="A406" t="s">
        <v>531</v>
      </c>
      <c r="B406">
        <v>4</v>
      </c>
      <c r="C406">
        <v>3</v>
      </c>
      <c r="D406">
        <v>2026</v>
      </c>
      <c r="E406" t="s">
        <v>37</v>
      </c>
      <c r="F406" t="s">
        <v>20</v>
      </c>
      <c r="G406" t="s">
        <v>27</v>
      </c>
      <c r="H406" t="s">
        <v>28</v>
      </c>
      <c r="I406">
        <v>53594</v>
      </c>
      <c r="J406" t="s">
        <v>54</v>
      </c>
      <c r="K406" t="s">
        <v>16</v>
      </c>
    </row>
    <row r="407" spans="1:11" x14ac:dyDescent="0.3">
      <c r="A407" t="s">
        <v>532</v>
      </c>
      <c r="B407">
        <v>6</v>
      </c>
      <c r="C407">
        <v>2</v>
      </c>
      <c r="D407">
        <v>2026</v>
      </c>
      <c r="E407" t="s">
        <v>19</v>
      </c>
      <c r="F407" t="s">
        <v>20</v>
      </c>
      <c r="G407" t="s">
        <v>44</v>
      </c>
      <c r="H407" t="s">
        <v>61</v>
      </c>
      <c r="I407">
        <v>41946</v>
      </c>
      <c r="J407" t="s">
        <v>198</v>
      </c>
      <c r="K407" t="s">
        <v>16</v>
      </c>
    </row>
    <row r="408" spans="1:11" x14ac:dyDescent="0.3">
      <c r="A408" t="s">
        <v>533</v>
      </c>
      <c r="B408">
        <v>15</v>
      </c>
      <c r="C408">
        <v>2</v>
      </c>
      <c r="D408">
        <v>2026</v>
      </c>
      <c r="E408" t="s">
        <v>19</v>
      </c>
      <c r="F408" t="s">
        <v>38</v>
      </c>
      <c r="G408" t="s">
        <v>27</v>
      </c>
      <c r="H408" t="s">
        <v>14</v>
      </c>
      <c r="I408">
        <v>15368</v>
      </c>
      <c r="J408" t="s">
        <v>185</v>
      </c>
      <c r="K408" t="s">
        <v>16</v>
      </c>
    </row>
    <row r="409" spans="1:11" x14ac:dyDescent="0.3">
      <c r="A409" t="s">
        <v>534</v>
      </c>
      <c r="B409">
        <v>17</v>
      </c>
      <c r="C409">
        <v>3</v>
      </c>
      <c r="D409">
        <v>2026</v>
      </c>
      <c r="E409" t="s">
        <v>60</v>
      </c>
      <c r="F409" t="s">
        <v>20</v>
      </c>
      <c r="G409" t="s">
        <v>21</v>
      </c>
      <c r="H409" t="s">
        <v>14</v>
      </c>
      <c r="I409">
        <v>65550</v>
      </c>
      <c r="J409" t="s">
        <v>164</v>
      </c>
      <c r="K409" t="s">
        <v>30</v>
      </c>
    </row>
    <row r="410" spans="1:11" x14ac:dyDescent="0.3">
      <c r="A410" t="s">
        <v>535</v>
      </c>
      <c r="B410">
        <v>25</v>
      </c>
      <c r="C410">
        <v>3</v>
      </c>
      <c r="D410">
        <v>2026</v>
      </c>
      <c r="E410" t="s">
        <v>11</v>
      </c>
      <c r="F410" t="s">
        <v>38</v>
      </c>
      <c r="G410" t="s">
        <v>27</v>
      </c>
      <c r="H410" t="s">
        <v>629</v>
      </c>
      <c r="I410">
        <v>36283</v>
      </c>
      <c r="J410" t="s">
        <v>209</v>
      </c>
      <c r="K410" t="s">
        <v>23</v>
      </c>
    </row>
    <row r="411" spans="1:11" x14ac:dyDescent="0.3">
      <c r="A411" t="s">
        <v>536</v>
      </c>
      <c r="B411">
        <v>6</v>
      </c>
      <c r="C411">
        <v>2</v>
      </c>
      <c r="D411">
        <v>2026</v>
      </c>
      <c r="E411" t="s">
        <v>37</v>
      </c>
      <c r="F411" t="s">
        <v>38</v>
      </c>
      <c r="G411" t="s">
        <v>27</v>
      </c>
      <c r="H411" t="s">
        <v>61</v>
      </c>
      <c r="I411">
        <v>43712</v>
      </c>
      <c r="J411" t="s">
        <v>91</v>
      </c>
      <c r="K411" t="s">
        <v>30</v>
      </c>
    </row>
    <row r="412" spans="1:11" x14ac:dyDescent="0.3">
      <c r="A412" t="s">
        <v>537</v>
      </c>
      <c r="B412">
        <v>9</v>
      </c>
      <c r="C412">
        <v>3</v>
      </c>
      <c r="D412">
        <v>2026</v>
      </c>
      <c r="E412" t="s">
        <v>19</v>
      </c>
      <c r="F412" t="s">
        <v>38</v>
      </c>
      <c r="G412" t="s">
        <v>13</v>
      </c>
      <c r="H412" t="s">
        <v>14</v>
      </c>
      <c r="I412">
        <v>47264</v>
      </c>
      <c r="J412" t="s">
        <v>34</v>
      </c>
      <c r="K412" t="s">
        <v>30</v>
      </c>
    </row>
    <row r="413" spans="1:11" x14ac:dyDescent="0.3">
      <c r="A413" t="s">
        <v>538</v>
      </c>
      <c r="B413">
        <v>1</v>
      </c>
      <c r="C413">
        <v>4</v>
      </c>
      <c r="D413">
        <v>2026</v>
      </c>
      <c r="E413" t="s">
        <v>33</v>
      </c>
      <c r="F413" t="s">
        <v>38</v>
      </c>
      <c r="G413" t="s">
        <v>44</v>
      </c>
      <c r="H413" t="s">
        <v>39</v>
      </c>
      <c r="I413">
        <v>25947</v>
      </c>
      <c r="J413" t="s">
        <v>262</v>
      </c>
      <c r="K413" t="s">
        <v>16</v>
      </c>
    </row>
    <row r="414" spans="1:11" x14ac:dyDescent="0.3">
      <c r="A414" t="s">
        <v>539</v>
      </c>
      <c r="B414">
        <v>15</v>
      </c>
      <c r="C414">
        <v>2</v>
      </c>
      <c r="D414">
        <v>2026</v>
      </c>
      <c r="E414" t="s">
        <v>19</v>
      </c>
      <c r="F414" t="s">
        <v>26</v>
      </c>
      <c r="G414" t="s">
        <v>44</v>
      </c>
      <c r="H414" t="s">
        <v>14</v>
      </c>
      <c r="I414">
        <v>18463</v>
      </c>
      <c r="J414" t="s">
        <v>122</v>
      </c>
      <c r="K414" t="s">
        <v>16</v>
      </c>
    </row>
    <row r="415" spans="1:11" x14ac:dyDescent="0.3">
      <c r="A415" t="s">
        <v>540</v>
      </c>
      <c r="B415">
        <v>23</v>
      </c>
      <c r="C415">
        <v>2</v>
      </c>
      <c r="D415">
        <v>2026</v>
      </c>
      <c r="E415" t="s">
        <v>19</v>
      </c>
      <c r="F415" t="s">
        <v>20</v>
      </c>
      <c r="G415" t="s">
        <v>44</v>
      </c>
      <c r="H415" t="s">
        <v>39</v>
      </c>
      <c r="I415">
        <v>49935</v>
      </c>
      <c r="J415" t="s">
        <v>32</v>
      </c>
      <c r="K415" t="s">
        <v>23</v>
      </c>
    </row>
    <row r="416" spans="1:11" x14ac:dyDescent="0.3">
      <c r="A416" t="s">
        <v>541</v>
      </c>
      <c r="B416">
        <v>24</v>
      </c>
      <c r="C416">
        <v>1</v>
      </c>
      <c r="D416">
        <v>2026</v>
      </c>
      <c r="E416" t="s">
        <v>37</v>
      </c>
      <c r="F416" t="s">
        <v>20</v>
      </c>
      <c r="G416" t="s">
        <v>44</v>
      </c>
      <c r="H416" t="s">
        <v>629</v>
      </c>
      <c r="I416">
        <v>48411</v>
      </c>
      <c r="J416" t="s">
        <v>129</v>
      </c>
      <c r="K416" t="s">
        <v>41</v>
      </c>
    </row>
    <row r="417" spans="1:11" x14ac:dyDescent="0.3">
      <c r="A417" t="s">
        <v>542</v>
      </c>
      <c r="B417">
        <v>23</v>
      </c>
      <c r="C417">
        <v>2</v>
      </c>
      <c r="D417">
        <v>2026</v>
      </c>
      <c r="E417" t="s">
        <v>33</v>
      </c>
      <c r="F417" t="s">
        <v>38</v>
      </c>
      <c r="G417" t="s">
        <v>13</v>
      </c>
      <c r="H417" t="s">
        <v>39</v>
      </c>
      <c r="I417">
        <v>54381</v>
      </c>
      <c r="J417" t="s">
        <v>75</v>
      </c>
      <c r="K417" t="s">
        <v>23</v>
      </c>
    </row>
    <row r="418" spans="1:11" x14ac:dyDescent="0.3">
      <c r="A418" t="s">
        <v>543</v>
      </c>
      <c r="B418">
        <v>27</v>
      </c>
      <c r="C418">
        <v>2</v>
      </c>
      <c r="D418">
        <v>2026</v>
      </c>
      <c r="E418" t="s">
        <v>19</v>
      </c>
      <c r="F418" t="s">
        <v>20</v>
      </c>
      <c r="G418" t="s">
        <v>21</v>
      </c>
      <c r="H418" t="s">
        <v>61</v>
      </c>
      <c r="I418">
        <v>22453</v>
      </c>
      <c r="J418" t="s">
        <v>32</v>
      </c>
      <c r="K418" t="s">
        <v>16</v>
      </c>
    </row>
    <row r="419" spans="1:11" x14ac:dyDescent="0.3">
      <c r="A419" t="s">
        <v>544</v>
      </c>
      <c r="B419">
        <v>6</v>
      </c>
      <c r="C419">
        <v>1</v>
      </c>
      <c r="D419">
        <v>2026</v>
      </c>
      <c r="E419" t="s">
        <v>33</v>
      </c>
      <c r="F419" t="s">
        <v>20</v>
      </c>
      <c r="G419" t="s">
        <v>13</v>
      </c>
      <c r="H419" t="s">
        <v>39</v>
      </c>
      <c r="I419">
        <v>19864</v>
      </c>
      <c r="J419" t="s">
        <v>155</v>
      </c>
      <c r="K419" t="s">
        <v>41</v>
      </c>
    </row>
    <row r="420" spans="1:11" x14ac:dyDescent="0.3">
      <c r="A420" t="s">
        <v>545</v>
      </c>
      <c r="B420">
        <v>13</v>
      </c>
      <c r="C420">
        <v>1</v>
      </c>
      <c r="D420">
        <v>2026</v>
      </c>
      <c r="E420" t="s">
        <v>33</v>
      </c>
      <c r="F420" t="s">
        <v>38</v>
      </c>
      <c r="G420" t="s">
        <v>13</v>
      </c>
      <c r="H420" t="s">
        <v>629</v>
      </c>
      <c r="I420">
        <v>62791</v>
      </c>
      <c r="J420" t="s">
        <v>137</v>
      </c>
      <c r="K420" t="s">
        <v>23</v>
      </c>
    </row>
    <row r="421" spans="1:11" x14ac:dyDescent="0.3">
      <c r="A421" t="s">
        <v>546</v>
      </c>
      <c r="B421">
        <v>10</v>
      </c>
      <c r="C421">
        <v>2</v>
      </c>
      <c r="D421">
        <v>2026</v>
      </c>
      <c r="E421" t="s">
        <v>19</v>
      </c>
      <c r="F421" t="s">
        <v>26</v>
      </c>
      <c r="G421" t="s">
        <v>21</v>
      </c>
      <c r="H421" t="s">
        <v>629</v>
      </c>
      <c r="I421">
        <v>43835</v>
      </c>
      <c r="J421" t="s">
        <v>77</v>
      </c>
      <c r="K421" t="s">
        <v>23</v>
      </c>
    </row>
    <row r="422" spans="1:11" x14ac:dyDescent="0.3">
      <c r="A422" t="s">
        <v>547</v>
      </c>
      <c r="B422">
        <v>12</v>
      </c>
      <c r="C422">
        <v>3</v>
      </c>
      <c r="D422">
        <v>2026</v>
      </c>
      <c r="E422" t="s">
        <v>11</v>
      </c>
      <c r="F422" t="s">
        <v>26</v>
      </c>
      <c r="G422" t="s">
        <v>21</v>
      </c>
      <c r="H422" t="s">
        <v>629</v>
      </c>
      <c r="I422">
        <v>66327</v>
      </c>
      <c r="J422" t="s">
        <v>98</v>
      </c>
      <c r="K422" t="s">
        <v>30</v>
      </c>
    </row>
    <row r="423" spans="1:11" x14ac:dyDescent="0.3">
      <c r="A423" t="s">
        <v>548</v>
      </c>
      <c r="B423">
        <v>6</v>
      </c>
      <c r="C423">
        <v>3</v>
      </c>
      <c r="D423">
        <v>2026</v>
      </c>
      <c r="E423" t="s">
        <v>11</v>
      </c>
      <c r="F423" t="s">
        <v>38</v>
      </c>
      <c r="G423" t="s">
        <v>44</v>
      </c>
      <c r="H423" t="s">
        <v>61</v>
      </c>
      <c r="I423">
        <v>61592</v>
      </c>
      <c r="J423" t="s">
        <v>64</v>
      </c>
      <c r="K423" t="s">
        <v>30</v>
      </c>
    </row>
    <row r="424" spans="1:11" x14ac:dyDescent="0.3">
      <c r="A424" t="s">
        <v>549</v>
      </c>
      <c r="B424">
        <v>15</v>
      </c>
      <c r="C424">
        <v>1</v>
      </c>
      <c r="D424">
        <v>2026</v>
      </c>
      <c r="E424" t="s">
        <v>11</v>
      </c>
      <c r="F424" t="s">
        <v>12</v>
      </c>
      <c r="G424" t="s">
        <v>44</v>
      </c>
      <c r="H424" t="s">
        <v>14</v>
      </c>
      <c r="I424">
        <v>66001</v>
      </c>
      <c r="J424" t="s">
        <v>79</v>
      </c>
      <c r="K424" t="s">
        <v>23</v>
      </c>
    </row>
    <row r="425" spans="1:11" x14ac:dyDescent="0.3">
      <c r="A425" t="s">
        <v>550</v>
      </c>
      <c r="B425">
        <v>29</v>
      </c>
      <c r="C425">
        <v>3</v>
      </c>
      <c r="D425">
        <v>2026</v>
      </c>
      <c r="E425" t="s">
        <v>19</v>
      </c>
      <c r="F425" t="s">
        <v>26</v>
      </c>
      <c r="G425" t="s">
        <v>27</v>
      </c>
      <c r="H425" t="s">
        <v>14</v>
      </c>
      <c r="I425">
        <v>8787</v>
      </c>
      <c r="J425" t="s">
        <v>183</v>
      </c>
      <c r="K425" t="s">
        <v>23</v>
      </c>
    </row>
    <row r="426" spans="1:11" x14ac:dyDescent="0.3">
      <c r="A426" t="s">
        <v>551</v>
      </c>
      <c r="B426">
        <v>26</v>
      </c>
      <c r="C426">
        <v>2</v>
      </c>
      <c r="D426">
        <v>2026</v>
      </c>
      <c r="E426" t="s">
        <v>60</v>
      </c>
      <c r="F426" t="s">
        <v>38</v>
      </c>
      <c r="G426" t="s">
        <v>44</v>
      </c>
      <c r="H426" t="s">
        <v>629</v>
      </c>
      <c r="I426">
        <v>60201</v>
      </c>
      <c r="J426" t="s">
        <v>119</v>
      </c>
      <c r="K426" t="s">
        <v>23</v>
      </c>
    </row>
    <row r="427" spans="1:11" x14ac:dyDescent="0.3">
      <c r="A427" t="s">
        <v>552</v>
      </c>
      <c r="B427">
        <v>25</v>
      </c>
      <c r="C427">
        <v>2</v>
      </c>
      <c r="D427">
        <v>2026</v>
      </c>
      <c r="E427" t="s">
        <v>19</v>
      </c>
      <c r="F427" t="s">
        <v>20</v>
      </c>
      <c r="G427" t="s">
        <v>21</v>
      </c>
      <c r="H427" t="s">
        <v>39</v>
      </c>
      <c r="I427">
        <v>40685</v>
      </c>
      <c r="J427" t="s">
        <v>151</v>
      </c>
      <c r="K427" t="s">
        <v>30</v>
      </c>
    </row>
    <row r="428" spans="1:11" x14ac:dyDescent="0.3">
      <c r="A428" t="s">
        <v>553</v>
      </c>
      <c r="B428">
        <v>18</v>
      </c>
      <c r="C428">
        <v>3</v>
      </c>
      <c r="D428">
        <v>2026</v>
      </c>
      <c r="E428" t="s">
        <v>33</v>
      </c>
      <c r="F428" t="s">
        <v>38</v>
      </c>
      <c r="G428" t="s">
        <v>44</v>
      </c>
      <c r="H428" t="s">
        <v>28</v>
      </c>
      <c r="I428">
        <v>43458</v>
      </c>
      <c r="J428" t="s">
        <v>164</v>
      </c>
      <c r="K428" t="s">
        <v>23</v>
      </c>
    </row>
    <row r="429" spans="1:11" x14ac:dyDescent="0.3">
      <c r="A429" t="s">
        <v>554</v>
      </c>
      <c r="B429">
        <v>15</v>
      </c>
      <c r="C429">
        <v>3</v>
      </c>
      <c r="D429">
        <v>2026</v>
      </c>
      <c r="E429" t="s">
        <v>11</v>
      </c>
      <c r="F429" t="s">
        <v>20</v>
      </c>
      <c r="G429" t="s">
        <v>13</v>
      </c>
      <c r="H429" t="s">
        <v>39</v>
      </c>
      <c r="I429">
        <v>61367</v>
      </c>
      <c r="J429" t="s">
        <v>70</v>
      </c>
      <c r="K429" t="s">
        <v>23</v>
      </c>
    </row>
    <row r="430" spans="1:11" x14ac:dyDescent="0.3">
      <c r="A430" t="s">
        <v>555</v>
      </c>
      <c r="B430">
        <v>6</v>
      </c>
      <c r="C430">
        <v>1</v>
      </c>
      <c r="D430">
        <v>2026</v>
      </c>
      <c r="E430" t="s">
        <v>33</v>
      </c>
      <c r="F430" t="s">
        <v>12</v>
      </c>
      <c r="G430" t="s">
        <v>44</v>
      </c>
      <c r="H430" t="s">
        <v>39</v>
      </c>
      <c r="I430">
        <v>12380</v>
      </c>
      <c r="J430" t="s">
        <v>219</v>
      </c>
      <c r="K430" t="s">
        <v>41</v>
      </c>
    </row>
    <row r="431" spans="1:11" x14ac:dyDescent="0.3">
      <c r="A431" t="s">
        <v>556</v>
      </c>
      <c r="B431">
        <v>19</v>
      </c>
      <c r="C431">
        <v>3</v>
      </c>
      <c r="D431">
        <v>2026</v>
      </c>
      <c r="E431" t="s">
        <v>37</v>
      </c>
      <c r="F431" t="s">
        <v>20</v>
      </c>
      <c r="G431" t="s">
        <v>27</v>
      </c>
      <c r="H431" t="s">
        <v>39</v>
      </c>
      <c r="I431">
        <v>46230</v>
      </c>
      <c r="J431" t="s">
        <v>164</v>
      </c>
      <c r="K431" t="s">
        <v>16</v>
      </c>
    </row>
    <row r="432" spans="1:11" x14ac:dyDescent="0.3">
      <c r="A432" t="s">
        <v>557</v>
      </c>
      <c r="B432">
        <v>2</v>
      </c>
      <c r="C432">
        <v>2</v>
      </c>
      <c r="D432">
        <v>2026</v>
      </c>
      <c r="E432" t="s">
        <v>33</v>
      </c>
      <c r="F432" t="s">
        <v>38</v>
      </c>
      <c r="G432" t="s">
        <v>21</v>
      </c>
      <c r="H432" t="s">
        <v>28</v>
      </c>
      <c r="I432">
        <v>5902</v>
      </c>
      <c r="J432" t="s">
        <v>106</v>
      </c>
      <c r="K432" t="s">
        <v>23</v>
      </c>
    </row>
    <row r="433" spans="1:11" x14ac:dyDescent="0.3">
      <c r="A433" t="s">
        <v>558</v>
      </c>
      <c r="B433">
        <v>26</v>
      </c>
      <c r="C433">
        <v>1</v>
      </c>
      <c r="D433">
        <v>2026</v>
      </c>
      <c r="E433" t="s">
        <v>19</v>
      </c>
      <c r="F433" t="s">
        <v>26</v>
      </c>
      <c r="G433" t="s">
        <v>27</v>
      </c>
      <c r="H433" t="s">
        <v>14</v>
      </c>
      <c r="I433">
        <v>68256</v>
      </c>
      <c r="J433" t="s">
        <v>15</v>
      </c>
      <c r="K433" t="s">
        <v>30</v>
      </c>
    </row>
    <row r="434" spans="1:11" x14ac:dyDescent="0.3">
      <c r="A434" t="s">
        <v>559</v>
      </c>
      <c r="B434">
        <v>6</v>
      </c>
      <c r="C434">
        <v>2</v>
      </c>
      <c r="D434">
        <v>2026</v>
      </c>
      <c r="E434" t="s">
        <v>19</v>
      </c>
      <c r="F434" t="s">
        <v>12</v>
      </c>
      <c r="G434" t="s">
        <v>21</v>
      </c>
      <c r="H434" t="s">
        <v>39</v>
      </c>
      <c r="I434">
        <v>51850</v>
      </c>
      <c r="J434" t="s">
        <v>134</v>
      </c>
      <c r="K434" t="s">
        <v>41</v>
      </c>
    </row>
    <row r="435" spans="1:11" x14ac:dyDescent="0.3">
      <c r="A435" t="s">
        <v>560</v>
      </c>
      <c r="B435">
        <v>17</v>
      </c>
      <c r="C435">
        <v>1</v>
      </c>
      <c r="D435">
        <v>2026</v>
      </c>
      <c r="E435" t="s">
        <v>37</v>
      </c>
      <c r="F435" t="s">
        <v>26</v>
      </c>
      <c r="G435" t="s">
        <v>21</v>
      </c>
      <c r="H435" t="s">
        <v>39</v>
      </c>
      <c r="I435">
        <v>74953</v>
      </c>
      <c r="J435" t="s">
        <v>179</v>
      </c>
      <c r="K435" t="s">
        <v>41</v>
      </c>
    </row>
    <row r="436" spans="1:11" x14ac:dyDescent="0.3">
      <c r="A436" t="s">
        <v>561</v>
      </c>
      <c r="B436">
        <v>21</v>
      </c>
      <c r="C436">
        <v>1</v>
      </c>
      <c r="D436">
        <v>2026</v>
      </c>
      <c r="E436" t="s">
        <v>33</v>
      </c>
      <c r="F436" t="s">
        <v>38</v>
      </c>
      <c r="G436" t="s">
        <v>21</v>
      </c>
      <c r="H436" t="s">
        <v>61</v>
      </c>
      <c r="I436">
        <v>34911</v>
      </c>
      <c r="J436" t="s">
        <v>15</v>
      </c>
      <c r="K436" t="s">
        <v>23</v>
      </c>
    </row>
    <row r="437" spans="1:11" x14ac:dyDescent="0.3">
      <c r="A437" t="s">
        <v>562</v>
      </c>
      <c r="B437">
        <v>28</v>
      </c>
      <c r="C437">
        <v>2</v>
      </c>
      <c r="D437">
        <v>2026</v>
      </c>
      <c r="E437" t="s">
        <v>60</v>
      </c>
      <c r="F437" t="s">
        <v>26</v>
      </c>
      <c r="G437" t="s">
        <v>27</v>
      </c>
      <c r="H437" t="s">
        <v>629</v>
      </c>
      <c r="I437">
        <v>68293</v>
      </c>
      <c r="J437" t="s">
        <v>53</v>
      </c>
      <c r="K437" t="s">
        <v>30</v>
      </c>
    </row>
    <row r="438" spans="1:11" x14ac:dyDescent="0.3">
      <c r="A438" t="s">
        <v>563</v>
      </c>
      <c r="B438">
        <v>9</v>
      </c>
      <c r="C438">
        <v>1</v>
      </c>
      <c r="D438">
        <v>2026</v>
      </c>
      <c r="E438" t="s">
        <v>11</v>
      </c>
      <c r="F438" t="s">
        <v>26</v>
      </c>
      <c r="G438" t="s">
        <v>44</v>
      </c>
      <c r="H438" t="s">
        <v>629</v>
      </c>
      <c r="I438">
        <v>51484</v>
      </c>
      <c r="J438" t="s">
        <v>202</v>
      </c>
      <c r="K438" t="s">
        <v>16</v>
      </c>
    </row>
    <row r="439" spans="1:11" x14ac:dyDescent="0.3">
      <c r="A439" t="s">
        <v>564</v>
      </c>
      <c r="B439">
        <v>13</v>
      </c>
      <c r="C439">
        <v>2</v>
      </c>
      <c r="D439">
        <v>2026</v>
      </c>
      <c r="E439" t="s">
        <v>11</v>
      </c>
      <c r="F439" t="s">
        <v>12</v>
      </c>
      <c r="G439" t="s">
        <v>13</v>
      </c>
      <c r="H439" t="s">
        <v>629</v>
      </c>
      <c r="I439">
        <v>37030</v>
      </c>
      <c r="J439" t="s">
        <v>93</v>
      </c>
      <c r="K439" t="s">
        <v>41</v>
      </c>
    </row>
    <row r="440" spans="1:11" x14ac:dyDescent="0.3">
      <c r="A440" t="s">
        <v>565</v>
      </c>
      <c r="B440">
        <v>13</v>
      </c>
      <c r="C440">
        <v>2</v>
      </c>
      <c r="D440">
        <v>2026</v>
      </c>
      <c r="E440" t="s">
        <v>33</v>
      </c>
      <c r="F440" t="s">
        <v>26</v>
      </c>
      <c r="G440" t="s">
        <v>13</v>
      </c>
      <c r="H440" t="s">
        <v>14</v>
      </c>
      <c r="I440">
        <v>24910</v>
      </c>
      <c r="J440" t="s">
        <v>190</v>
      </c>
      <c r="K440" t="s">
        <v>16</v>
      </c>
    </row>
    <row r="441" spans="1:11" x14ac:dyDescent="0.3">
      <c r="A441" t="s">
        <v>566</v>
      </c>
      <c r="B441">
        <v>3</v>
      </c>
      <c r="C441">
        <v>2</v>
      </c>
      <c r="D441">
        <v>2026</v>
      </c>
      <c r="E441" t="s">
        <v>33</v>
      </c>
      <c r="F441" t="s">
        <v>12</v>
      </c>
      <c r="G441" t="s">
        <v>44</v>
      </c>
      <c r="H441" t="s">
        <v>28</v>
      </c>
      <c r="I441">
        <v>53470</v>
      </c>
      <c r="J441" t="s">
        <v>91</v>
      </c>
      <c r="K441" t="s">
        <v>41</v>
      </c>
    </row>
    <row r="442" spans="1:11" x14ac:dyDescent="0.3">
      <c r="A442" t="s">
        <v>567</v>
      </c>
      <c r="B442">
        <v>3</v>
      </c>
      <c r="C442">
        <v>3</v>
      </c>
      <c r="D442">
        <v>2026</v>
      </c>
      <c r="E442" t="s">
        <v>37</v>
      </c>
      <c r="F442" t="s">
        <v>38</v>
      </c>
      <c r="G442" t="s">
        <v>27</v>
      </c>
      <c r="H442" t="s">
        <v>61</v>
      </c>
      <c r="I442">
        <v>53694</v>
      </c>
      <c r="J442" t="s">
        <v>32</v>
      </c>
      <c r="K442" t="s">
        <v>30</v>
      </c>
    </row>
    <row r="443" spans="1:11" x14ac:dyDescent="0.3">
      <c r="A443" t="s">
        <v>568</v>
      </c>
      <c r="B443">
        <v>23</v>
      </c>
      <c r="C443">
        <v>2</v>
      </c>
      <c r="D443">
        <v>2026</v>
      </c>
      <c r="E443" t="s">
        <v>19</v>
      </c>
      <c r="F443" t="s">
        <v>12</v>
      </c>
      <c r="G443" t="s">
        <v>44</v>
      </c>
      <c r="H443" t="s">
        <v>61</v>
      </c>
      <c r="I443">
        <v>12512</v>
      </c>
      <c r="J443" t="s">
        <v>240</v>
      </c>
      <c r="K443" t="s">
        <v>41</v>
      </c>
    </row>
    <row r="444" spans="1:11" x14ac:dyDescent="0.3">
      <c r="A444" t="s">
        <v>569</v>
      </c>
      <c r="B444">
        <v>16</v>
      </c>
      <c r="C444">
        <v>1</v>
      </c>
      <c r="D444">
        <v>2026</v>
      </c>
      <c r="E444" t="s">
        <v>19</v>
      </c>
      <c r="F444" t="s">
        <v>38</v>
      </c>
      <c r="G444" t="s">
        <v>27</v>
      </c>
      <c r="H444" t="s">
        <v>14</v>
      </c>
      <c r="I444">
        <v>73455</v>
      </c>
      <c r="J444" t="s">
        <v>153</v>
      </c>
      <c r="K444" t="s">
        <v>23</v>
      </c>
    </row>
    <row r="445" spans="1:11" x14ac:dyDescent="0.3">
      <c r="A445" t="s">
        <v>570</v>
      </c>
      <c r="B445">
        <v>2</v>
      </c>
      <c r="C445">
        <v>1</v>
      </c>
      <c r="D445">
        <v>2026</v>
      </c>
      <c r="E445" t="s">
        <v>60</v>
      </c>
      <c r="F445" t="s">
        <v>26</v>
      </c>
      <c r="G445" t="s">
        <v>21</v>
      </c>
      <c r="H445" t="s">
        <v>61</v>
      </c>
      <c r="I445">
        <v>19655</v>
      </c>
      <c r="J445" t="s">
        <v>297</v>
      </c>
      <c r="K445" t="s">
        <v>30</v>
      </c>
    </row>
    <row r="446" spans="1:11" x14ac:dyDescent="0.3">
      <c r="A446" t="s">
        <v>571</v>
      </c>
      <c r="B446">
        <v>27</v>
      </c>
      <c r="C446">
        <v>3</v>
      </c>
      <c r="D446">
        <v>2026</v>
      </c>
      <c r="E446" t="s">
        <v>11</v>
      </c>
      <c r="F446" t="s">
        <v>26</v>
      </c>
      <c r="G446" t="s">
        <v>44</v>
      </c>
      <c r="H446" t="s">
        <v>28</v>
      </c>
      <c r="I446">
        <v>76228</v>
      </c>
      <c r="J446" t="s">
        <v>101</v>
      </c>
      <c r="K446" t="s">
        <v>16</v>
      </c>
    </row>
    <row r="447" spans="1:11" x14ac:dyDescent="0.3">
      <c r="A447" t="s">
        <v>572</v>
      </c>
      <c r="B447">
        <v>23</v>
      </c>
      <c r="C447">
        <v>1</v>
      </c>
      <c r="D447">
        <v>2026</v>
      </c>
      <c r="E447" t="s">
        <v>60</v>
      </c>
      <c r="F447" t="s">
        <v>38</v>
      </c>
      <c r="G447" t="s">
        <v>27</v>
      </c>
      <c r="H447" t="s">
        <v>14</v>
      </c>
      <c r="I447">
        <v>43331</v>
      </c>
      <c r="J447" t="s">
        <v>129</v>
      </c>
      <c r="K447" t="s">
        <v>41</v>
      </c>
    </row>
    <row r="448" spans="1:11" x14ac:dyDescent="0.3">
      <c r="A448" t="s">
        <v>573</v>
      </c>
      <c r="B448">
        <v>29</v>
      </c>
      <c r="C448">
        <v>3</v>
      </c>
      <c r="D448">
        <v>2026</v>
      </c>
      <c r="E448" t="s">
        <v>60</v>
      </c>
      <c r="F448" t="s">
        <v>38</v>
      </c>
      <c r="G448" t="s">
        <v>21</v>
      </c>
      <c r="H448" t="s">
        <v>629</v>
      </c>
      <c r="I448">
        <v>12327</v>
      </c>
      <c r="J448" t="s">
        <v>67</v>
      </c>
      <c r="K448" t="s">
        <v>41</v>
      </c>
    </row>
    <row r="449" spans="1:11" x14ac:dyDescent="0.3">
      <c r="A449" t="s">
        <v>574</v>
      </c>
      <c r="B449">
        <v>5</v>
      </c>
      <c r="C449">
        <v>2</v>
      </c>
      <c r="D449">
        <v>2026</v>
      </c>
      <c r="E449" t="s">
        <v>11</v>
      </c>
      <c r="F449" t="s">
        <v>38</v>
      </c>
      <c r="G449" t="s">
        <v>44</v>
      </c>
      <c r="H449" t="s">
        <v>629</v>
      </c>
      <c r="I449">
        <v>12019</v>
      </c>
      <c r="J449" t="s">
        <v>47</v>
      </c>
      <c r="K449" t="s">
        <v>16</v>
      </c>
    </row>
    <row r="450" spans="1:11" x14ac:dyDescent="0.3">
      <c r="A450" t="s">
        <v>575</v>
      </c>
      <c r="B450">
        <v>12</v>
      </c>
      <c r="C450">
        <v>1</v>
      </c>
      <c r="D450">
        <v>2026</v>
      </c>
      <c r="E450" t="s">
        <v>33</v>
      </c>
      <c r="F450" t="s">
        <v>12</v>
      </c>
      <c r="G450" t="s">
        <v>21</v>
      </c>
      <c r="H450" t="s">
        <v>28</v>
      </c>
      <c r="I450">
        <v>22970</v>
      </c>
      <c r="J450" t="s">
        <v>153</v>
      </c>
      <c r="K450" t="s">
        <v>30</v>
      </c>
    </row>
    <row r="451" spans="1:11" x14ac:dyDescent="0.3">
      <c r="A451" t="s">
        <v>576</v>
      </c>
      <c r="B451">
        <v>24</v>
      </c>
      <c r="C451">
        <v>3</v>
      </c>
      <c r="D451">
        <v>2026</v>
      </c>
      <c r="E451" t="s">
        <v>37</v>
      </c>
      <c r="F451" t="s">
        <v>38</v>
      </c>
      <c r="G451" t="s">
        <v>21</v>
      </c>
      <c r="H451" t="s">
        <v>28</v>
      </c>
      <c r="I451">
        <v>45916</v>
      </c>
      <c r="J451" t="s">
        <v>221</v>
      </c>
      <c r="K451" t="s">
        <v>30</v>
      </c>
    </row>
    <row r="452" spans="1:11" x14ac:dyDescent="0.3">
      <c r="A452" t="s">
        <v>577</v>
      </c>
      <c r="B452">
        <v>24</v>
      </c>
      <c r="C452">
        <v>1</v>
      </c>
      <c r="D452">
        <v>2026</v>
      </c>
      <c r="E452" t="s">
        <v>11</v>
      </c>
      <c r="F452" t="s">
        <v>12</v>
      </c>
      <c r="G452" t="s">
        <v>44</v>
      </c>
      <c r="H452" t="s">
        <v>629</v>
      </c>
      <c r="I452">
        <v>18954</v>
      </c>
      <c r="J452" t="s">
        <v>29</v>
      </c>
      <c r="K452" t="s">
        <v>16</v>
      </c>
    </row>
    <row r="453" spans="1:11" x14ac:dyDescent="0.3">
      <c r="A453" t="s">
        <v>578</v>
      </c>
      <c r="B453">
        <v>10</v>
      </c>
      <c r="C453">
        <v>2</v>
      </c>
      <c r="D453">
        <v>2026</v>
      </c>
      <c r="E453" t="s">
        <v>11</v>
      </c>
      <c r="F453" t="s">
        <v>20</v>
      </c>
      <c r="G453" t="s">
        <v>13</v>
      </c>
      <c r="H453" t="s">
        <v>28</v>
      </c>
      <c r="I453">
        <v>75250</v>
      </c>
      <c r="J453" t="s">
        <v>48</v>
      </c>
      <c r="K453" t="s">
        <v>23</v>
      </c>
    </row>
    <row r="454" spans="1:11" x14ac:dyDescent="0.3">
      <c r="A454" t="s">
        <v>579</v>
      </c>
      <c r="B454">
        <v>22</v>
      </c>
      <c r="C454">
        <v>2</v>
      </c>
      <c r="D454">
        <v>2026</v>
      </c>
      <c r="E454" t="s">
        <v>19</v>
      </c>
      <c r="F454" t="s">
        <v>12</v>
      </c>
      <c r="G454" t="s">
        <v>13</v>
      </c>
      <c r="H454" t="s">
        <v>14</v>
      </c>
      <c r="I454">
        <v>5986</v>
      </c>
      <c r="J454" t="s">
        <v>127</v>
      </c>
      <c r="K454" t="s">
        <v>41</v>
      </c>
    </row>
    <row r="455" spans="1:11" x14ac:dyDescent="0.3">
      <c r="A455" t="s">
        <v>580</v>
      </c>
      <c r="B455">
        <v>17</v>
      </c>
      <c r="C455">
        <v>1</v>
      </c>
      <c r="D455">
        <v>2026</v>
      </c>
      <c r="E455" t="s">
        <v>19</v>
      </c>
      <c r="F455" t="s">
        <v>12</v>
      </c>
      <c r="G455" t="s">
        <v>44</v>
      </c>
      <c r="H455" t="s">
        <v>28</v>
      </c>
      <c r="I455">
        <v>15191</v>
      </c>
      <c r="J455" t="s">
        <v>10</v>
      </c>
      <c r="K455" t="s">
        <v>41</v>
      </c>
    </row>
    <row r="456" spans="1:11" x14ac:dyDescent="0.3">
      <c r="A456" t="s">
        <v>581</v>
      </c>
      <c r="B456">
        <v>8</v>
      </c>
      <c r="C456">
        <v>2</v>
      </c>
      <c r="D456">
        <v>2026</v>
      </c>
      <c r="E456" t="s">
        <v>60</v>
      </c>
      <c r="F456" t="s">
        <v>38</v>
      </c>
      <c r="G456" t="s">
        <v>27</v>
      </c>
      <c r="H456" t="s">
        <v>61</v>
      </c>
      <c r="I456">
        <v>35799</v>
      </c>
      <c r="J456" t="s">
        <v>185</v>
      </c>
      <c r="K456" t="s">
        <v>23</v>
      </c>
    </row>
    <row r="457" spans="1:11" x14ac:dyDescent="0.3">
      <c r="A457" t="s">
        <v>582</v>
      </c>
      <c r="B457">
        <v>24</v>
      </c>
      <c r="C457">
        <v>3</v>
      </c>
      <c r="D457">
        <v>2026</v>
      </c>
      <c r="E457" t="s">
        <v>33</v>
      </c>
      <c r="F457" t="s">
        <v>12</v>
      </c>
      <c r="G457" t="s">
        <v>27</v>
      </c>
      <c r="H457" t="s">
        <v>28</v>
      </c>
      <c r="I457">
        <v>59409</v>
      </c>
      <c r="J457" t="s">
        <v>101</v>
      </c>
      <c r="K457" t="s">
        <v>23</v>
      </c>
    </row>
    <row r="458" spans="1:11" x14ac:dyDescent="0.3">
      <c r="A458" t="s">
        <v>583</v>
      </c>
      <c r="B458">
        <v>2</v>
      </c>
      <c r="C458">
        <v>3</v>
      </c>
      <c r="D458">
        <v>2026</v>
      </c>
      <c r="E458" t="s">
        <v>37</v>
      </c>
      <c r="F458" t="s">
        <v>38</v>
      </c>
      <c r="G458" t="s">
        <v>44</v>
      </c>
      <c r="H458" t="s">
        <v>39</v>
      </c>
      <c r="I458">
        <v>19011</v>
      </c>
      <c r="J458" t="s">
        <v>192</v>
      </c>
      <c r="K458" t="s">
        <v>23</v>
      </c>
    </row>
    <row r="459" spans="1:11" x14ac:dyDescent="0.3">
      <c r="A459" t="s">
        <v>584</v>
      </c>
      <c r="B459">
        <v>27</v>
      </c>
      <c r="C459">
        <v>3</v>
      </c>
      <c r="D459">
        <v>2026</v>
      </c>
      <c r="E459" t="s">
        <v>60</v>
      </c>
      <c r="F459" t="s">
        <v>20</v>
      </c>
      <c r="G459" t="s">
        <v>44</v>
      </c>
      <c r="H459" t="s">
        <v>28</v>
      </c>
      <c r="I459">
        <v>63754</v>
      </c>
      <c r="J459" t="s">
        <v>262</v>
      </c>
      <c r="K459" t="s">
        <v>16</v>
      </c>
    </row>
    <row r="460" spans="1:11" x14ac:dyDescent="0.3">
      <c r="A460" t="s">
        <v>585</v>
      </c>
      <c r="B460">
        <v>27</v>
      </c>
      <c r="C460">
        <v>2</v>
      </c>
      <c r="D460">
        <v>2026</v>
      </c>
      <c r="E460" t="s">
        <v>19</v>
      </c>
      <c r="F460" t="s">
        <v>12</v>
      </c>
      <c r="G460" t="s">
        <v>27</v>
      </c>
      <c r="H460" t="s">
        <v>61</v>
      </c>
      <c r="I460">
        <v>33514</v>
      </c>
      <c r="J460" t="s">
        <v>119</v>
      </c>
      <c r="K460" t="s">
        <v>41</v>
      </c>
    </row>
    <row r="461" spans="1:11" x14ac:dyDescent="0.3">
      <c r="A461" t="s">
        <v>586</v>
      </c>
      <c r="B461">
        <v>23</v>
      </c>
      <c r="C461">
        <v>1</v>
      </c>
      <c r="D461">
        <v>2026</v>
      </c>
      <c r="E461" t="s">
        <v>37</v>
      </c>
      <c r="F461" t="s">
        <v>38</v>
      </c>
      <c r="G461" t="s">
        <v>27</v>
      </c>
      <c r="H461" t="s">
        <v>629</v>
      </c>
      <c r="I461">
        <v>36910</v>
      </c>
      <c r="J461" t="s">
        <v>15</v>
      </c>
      <c r="K461" t="s">
        <v>30</v>
      </c>
    </row>
    <row r="462" spans="1:11" x14ac:dyDescent="0.3">
      <c r="A462" t="s">
        <v>587</v>
      </c>
      <c r="B462">
        <v>15</v>
      </c>
      <c r="C462">
        <v>1</v>
      </c>
      <c r="D462">
        <v>2026</v>
      </c>
      <c r="E462" t="s">
        <v>37</v>
      </c>
      <c r="F462" t="s">
        <v>26</v>
      </c>
      <c r="G462" t="s">
        <v>27</v>
      </c>
      <c r="H462" t="s">
        <v>61</v>
      </c>
      <c r="I462">
        <v>51389</v>
      </c>
      <c r="J462" t="s">
        <v>179</v>
      </c>
      <c r="K462" t="s">
        <v>41</v>
      </c>
    </row>
    <row r="463" spans="1:11" x14ac:dyDescent="0.3">
      <c r="A463" t="s">
        <v>588</v>
      </c>
      <c r="B463">
        <v>9</v>
      </c>
      <c r="C463">
        <v>1</v>
      </c>
      <c r="D463">
        <v>2026</v>
      </c>
      <c r="E463" t="s">
        <v>37</v>
      </c>
      <c r="F463" t="s">
        <v>20</v>
      </c>
      <c r="G463" t="s">
        <v>13</v>
      </c>
      <c r="H463" t="s">
        <v>629</v>
      </c>
      <c r="I463">
        <v>46901</v>
      </c>
      <c r="J463" t="s">
        <v>137</v>
      </c>
      <c r="K463" t="s">
        <v>16</v>
      </c>
    </row>
    <row r="464" spans="1:11" x14ac:dyDescent="0.3">
      <c r="A464" t="s">
        <v>589</v>
      </c>
      <c r="B464">
        <v>10</v>
      </c>
      <c r="C464">
        <v>3</v>
      </c>
      <c r="D464">
        <v>2026</v>
      </c>
      <c r="E464" t="s">
        <v>60</v>
      </c>
      <c r="F464" t="s">
        <v>38</v>
      </c>
      <c r="G464" t="s">
        <v>21</v>
      </c>
      <c r="H464" t="s">
        <v>28</v>
      </c>
      <c r="I464">
        <v>7260</v>
      </c>
      <c r="J464" t="s">
        <v>57</v>
      </c>
      <c r="K464" t="s">
        <v>41</v>
      </c>
    </row>
    <row r="465" spans="1:11" x14ac:dyDescent="0.3">
      <c r="A465" t="s">
        <v>590</v>
      </c>
      <c r="B465">
        <v>19</v>
      </c>
      <c r="C465">
        <v>3</v>
      </c>
      <c r="D465">
        <v>2026</v>
      </c>
      <c r="E465" t="s">
        <v>60</v>
      </c>
      <c r="F465" t="s">
        <v>20</v>
      </c>
      <c r="G465" t="s">
        <v>27</v>
      </c>
      <c r="H465" t="s">
        <v>14</v>
      </c>
      <c r="I465">
        <v>31541</v>
      </c>
      <c r="J465" t="s">
        <v>332</v>
      </c>
      <c r="K465" t="s">
        <v>23</v>
      </c>
    </row>
    <row r="466" spans="1:11" x14ac:dyDescent="0.3">
      <c r="A466" t="s">
        <v>591</v>
      </c>
      <c r="B466">
        <v>18</v>
      </c>
      <c r="C466">
        <v>1</v>
      </c>
      <c r="D466">
        <v>2026</v>
      </c>
      <c r="E466" t="s">
        <v>60</v>
      </c>
      <c r="F466" t="s">
        <v>26</v>
      </c>
      <c r="G466" t="s">
        <v>21</v>
      </c>
      <c r="H466" t="s">
        <v>61</v>
      </c>
      <c r="I466">
        <v>53879</v>
      </c>
      <c r="J466" t="s">
        <v>229</v>
      </c>
      <c r="K466" t="s">
        <v>16</v>
      </c>
    </row>
    <row r="467" spans="1:11" x14ac:dyDescent="0.3">
      <c r="A467" t="s">
        <v>592</v>
      </c>
      <c r="B467">
        <v>19</v>
      </c>
      <c r="C467">
        <v>2</v>
      </c>
      <c r="D467">
        <v>2026</v>
      </c>
      <c r="E467" t="s">
        <v>37</v>
      </c>
      <c r="F467" t="s">
        <v>26</v>
      </c>
      <c r="G467" t="s">
        <v>21</v>
      </c>
      <c r="H467" t="s">
        <v>39</v>
      </c>
      <c r="I467">
        <v>17586</v>
      </c>
      <c r="J467" t="s">
        <v>127</v>
      </c>
      <c r="K467" t="s">
        <v>16</v>
      </c>
    </row>
    <row r="468" spans="1:11" x14ac:dyDescent="0.3">
      <c r="A468" t="s">
        <v>593</v>
      </c>
      <c r="B468">
        <v>13</v>
      </c>
      <c r="C468">
        <v>3</v>
      </c>
      <c r="D468">
        <v>2026</v>
      </c>
      <c r="E468" t="s">
        <v>19</v>
      </c>
      <c r="F468" t="s">
        <v>20</v>
      </c>
      <c r="G468" t="s">
        <v>44</v>
      </c>
      <c r="H468" t="s">
        <v>61</v>
      </c>
      <c r="I468">
        <v>75622</v>
      </c>
      <c r="J468" t="s">
        <v>57</v>
      </c>
      <c r="K468" t="s">
        <v>23</v>
      </c>
    </row>
    <row r="469" spans="1:11" x14ac:dyDescent="0.3">
      <c r="A469" t="s">
        <v>594</v>
      </c>
      <c r="B469">
        <v>5</v>
      </c>
      <c r="C469">
        <v>3</v>
      </c>
      <c r="D469">
        <v>2026</v>
      </c>
      <c r="E469" t="s">
        <v>11</v>
      </c>
      <c r="F469" t="s">
        <v>12</v>
      </c>
      <c r="G469" t="s">
        <v>21</v>
      </c>
      <c r="H469" t="s">
        <v>28</v>
      </c>
      <c r="I469">
        <v>41099</v>
      </c>
      <c r="J469" t="s">
        <v>192</v>
      </c>
      <c r="K469" t="s">
        <v>23</v>
      </c>
    </row>
    <row r="470" spans="1:11" x14ac:dyDescent="0.3">
      <c r="A470" t="s">
        <v>595</v>
      </c>
      <c r="B470">
        <v>25</v>
      </c>
      <c r="C470">
        <v>1</v>
      </c>
      <c r="D470">
        <v>2026</v>
      </c>
      <c r="E470" t="s">
        <v>37</v>
      </c>
      <c r="F470" t="s">
        <v>38</v>
      </c>
      <c r="G470" t="s">
        <v>27</v>
      </c>
      <c r="H470" t="s">
        <v>14</v>
      </c>
      <c r="I470">
        <v>65434</v>
      </c>
      <c r="J470" t="s">
        <v>29</v>
      </c>
      <c r="K470" t="s">
        <v>23</v>
      </c>
    </row>
    <row r="471" spans="1:11" x14ac:dyDescent="0.3">
      <c r="A471" t="s">
        <v>596</v>
      </c>
      <c r="B471">
        <v>25</v>
      </c>
      <c r="C471">
        <v>3</v>
      </c>
      <c r="D471">
        <v>2026</v>
      </c>
      <c r="E471" t="s">
        <v>19</v>
      </c>
      <c r="F471" t="s">
        <v>20</v>
      </c>
      <c r="G471" t="s">
        <v>27</v>
      </c>
      <c r="H471" t="s">
        <v>39</v>
      </c>
      <c r="I471">
        <v>64760</v>
      </c>
      <c r="J471" t="s">
        <v>268</v>
      </c>
      <c r="K471" t="s">
        <v>41</v>
      </c>
    </row>
    <row r="472" spans="1:11" x14ac:dyDescent="0.3">
      <c r="A472" t="s">
        <v>597</v>
      </c>
      <c r="B472">
        <v>14</v>
      </c>
      <c r="C472">
        <v>2</v>
      </c>
      <c r="D472">
        <v>2026</v>
      </c>
      <c r="E472" t="s">
        <v>11</v>
      </c>
      <c r="F472" t="s">
        <v>26</v>
      </c>
      <c r="G472" t="s">
        <v>13</v>
      </c>
      <c r="H472" t="s">
        <v>629</v>
      </c>
      <c r="I472">
        <v>18133</v>
      </c>
      <c r="J472" t="s">
        <v>185</v>
      </c>
      <c r="K472" t="s">
        <v>30</v>
      </c>
    </row>
    <row r="473" spans="1:11" x14ac:dyDescent="0.3">
      <c r="A473" t="s">
        <v>598</v>
      </c>
      <c r="B473">
        <v>27</v>
      </c>
      <c r="C473">
        <v>3</v>
      </c>
      <c r="D473">
        <v>2026</v>
      </c>
      <c r="E473" t="s">
        <v>60</v>
      </c>
      <c r="F473" t="s">
        <v>20</v>
      </c>
      <c r="G473" t="s">
        <v>44</v>
      </c>
      <c r="H473" t="s">
        <v>61</v>
      </c>
      <c r="I473">
        <v>57055</v>
      </c>
      <c r="J473" t="s">
        <v>209</v>
      </c>
      <c r="K473" t="s">
        <v>16</v>
      </c>
    </row>
    <row r="474" spans="1:11" x14ac:dyDescent="0.3">
      <c r="A474" t="s">
        <v>599</v>
      </c>
      <c r="B474">
        <v>2</v>
      </c>
      <c r="C474">
        <v>2</v>
      </c>
      <c r="D474">
        <v>2026</v>
      </c>
      <c r="E474" t="s">
        <v>19</v>
      </c>
      <c r="F474" t="s">
        <v>12</v>
      </c>
      <c r="G474" t="s">
        <v>21</v>
      </c>
      <c r="H474" t="s">
        <v>629</v>
      </c>
      <c r="I474">
        <v>63323</v>
      </c>
      <c r="J474" t="s">
        <v>62</v>
      </c>
      <c r="K474" t="s">
        <v>23</v>
      </c>
    </row>
    <row r="475" spans="1:11" x14ac:dyDescent="0.3">
      <c r="A475" t="s">
        <v>600</v>
      </c>
      <c r="B475">
        <v>22</v>
      </c>
      <c r="C475">
        <v>1</v>
      </c>
      <c r="D475">
        <v>2026</v>
      </c>
      <c r="E475" t="s">
        <v>60</v>
      </c>
      <c r="F475" t="s">
        <v>20</v>
      </c>
      <c r="G475" t="s">
        <v>44</v>
      </c>
      <c r="H475" t="s">
        <v>14</v>
      </c>
      <c r="I475">
        <v>32188</v>
      </c>
      <c r="J475" t="s">
        <v>203</v>
      </c>
      <c r="K475" t="s">
        <v>30</v>
      </c>
    </row>
    <row r="476" spans="1:11" x14ac:dyDescent="0.3">
      <c r="A476" t="s">
        <v>601</v>
      </c>
      <c r="B476">
        <v>6</v>
      </c>
      <c r="C476">
        <v>3</v>
      </c>
      <c r="D476">
        <v>2026</v>
      </c>
      <c r="E476" t="s">
        <v>37</v>
      </c>
      <c r="F476" t="s">
        <v>12</v>
      </c>
      <c r="G476" t="s">
        <v>44</v>
      </c>
      <c r="H476" t="s">
        <v>28</v>
      </c>
      <c r="I476">
        <v>10998</v>
      </c>
      <c r="J476" t="s">
        <v>53</v>
      </c>
      <c r="K476" t="s">
        <v>16</v>
      </c>
    </row>
    <row r="477" spans="1:11" x14ac:dyDescent="0.3">
      <c r="A477" t="s">
        <v>602</v>
      </c>
      <c r="B477">
        <v>9</v>
      </c>
      <c r="C477">
        <v>3</v>
      </c>
      <c r="D477">
        <v>2026</v>
      </c>
      <c r="E477" t="s">
        <v>60</v>
      </c>
      <c r="F477" t="s">
        <v>26</v>
      </c>
      <c r="G477" t="s">
        <v>44</v>
      </c>
      <c r="H477" t="s">
        <v>629</v>
      </c>
      <c r="I477">
        <v>54051</v>
      </c>
      <c r="J477" t="s">
        <v>132</v>
      </c>
      <c r="K477" t="s">
        <v>16</v>
      </c>
    </row>
    <row r="478" spans="1:11" x14ac:dyDescent="0.3">
      <c r="A478" t="s">
        <v>603</v>
      </c>
      <c r="B478">
        <v>20</v>
      </c>
      <c r="C478">
        <v>2</v>
      </c>
      <c r="D478">
        <v>2026</v>
      </c>
      <c r="E478" t="s">
        <v>19</v>
      </c>
      <c r="F478" t="s">
        <v>20</v>
      </c>
      <c r="G478" t="s">
        <v>13</v>
      </c>
      <c r="H478" t="s">
        <v>14</v>
      </c>
      <c r="I478">
        <v>72931</v>
      </c>
      <c r="J478" t="s">
        <v>119</v>
      </c>
      <c r="K478" t="s">
        <v>16</v>
      </c>
    </row>
    <row r="479" spans="1:11" x14ac:dyDescent="0.3">
      <c r="A479" t="s">
        <v>604</v>
      </c>
      <c r="B479">
        <v>26</v>
      </c>
      <c r="C479">
        <v>3</v>
      </c>
      <c r="D479">
        <v>2026</v>
      </c>
      <c r="E479" t="s">
        <v>11</v>
      </c>
      <c r="F479" t="s">
        <v>12</v>
      </c>
      <c r="G479" t="s">
        <v>44</v>
      </c>
      <c r="H479" t="s">
        <v>61</v>
      </c>
      <c r="I479">
        <v>75640</v>
      </c>
      <c r="J479" t="s">
        <v>262</v>
      </c>
      <c r="K479" t="s">
        <v>16</v>
      </c>
    </row>
    <row r="480" spans="1:11" x14ac:dyDescent="0.3">
      <c r="A480" t="s">
        <v>605</v>
      </c>
      <c r="B480">
        <v>14</v>
      </c>
      <c r="C480">
        <v>3</v>
      </c>
      <c r="D480">
        <v>2026</v>
      </c>
      <c r="E480" t="s">
        <v>11</v>
      </c>
      <c r="F480" t="s">
        <v>20</v>
      </c>
      <c r="G480" t="s">
        <v>21</v>
      </c>
      <c r="H480" t="s">
        <v>28</v>
      </c>
      <c r="I480">
        <v>14640</v>
      </c>
      <c r="J480" t="s">
        <v>98</v>
      </c>
      <c r="K480" t="s">
        <v>16</v>
      </c>
    </row>
    <row r="481" spans="1:11" x14ac:dyDescent="0.3">
      <c r="A481" t="s">
        <v>606</v>
      </c>
      <c r="B481">
        <v>21</v>
      </c>
      <c r="C481">
        <v>3</v>
      </c>
      <c r="D481">
        <v>2026</v>
      </c>
      <c r="E481" t="s">
        <v>60</v>
      </c>
      <c r="F481" t="s">
        <v>38</v>
      </c>
      <c r="G481" t="s">
        <v>44</v>
      </c>
      <c r="H481" t="s">
        <v>14</v>
      </c>
      <c r="I481">
        <v>32264</v>
      </c>
      <c r="J481" t="s">
        <v>67</v>
      </c>
      <c r="K481" t="s">
        <v>30</v>
      </c>
    </row>
    <row r="482" spans="1:11" x14ac:dyDescent="0.3">
      <c r="A482" t="s">
        <v>607</v>
      </c>
      <c r="B482">
        <v>21</v>
      </c>
      <c r="C482">
        <v>2</v>
      </c>
      <c r="D482">
        <v>2026</v>
      </c>
      <c r="E482" t="s">
        <v>37</v>
      </c>
      <c r="F482" t="s">
        <v>12</v>
      </c>
      <c r="G482" t="s">
        <v>27</v>
      </c>
      <c r="H482" t="s">
        <v>61</v>
      </c>
      <c r="I482">
        <v>30539</v>
      </c>
      <c r="J482" t="s">
        <v>45</v>
      </c>
      <c r="K482" t="s">
        <v>23</v>
      </c>
    </row>
    <row r="483" spans="1:11" x14ac:dyDescent="0.3">
      <c r="A483" t="s">
        <v>608</v>
      </c>
      <c r="B483">
        <v>25</v>
      </c>
      <c r="C483">
        <v>3</v>
      </c>
      <c r="D483">
        <v>2026</v>
      </c>
      <c r="E483" t="s">
        <v>19</v>
      </c>
      <c r="F483" t="s">
        <v>20</v>
      </c>
      <c r="G483" t="s">
        <v>13</v>
      </c>
      <c r="H483" t="s">
        <v>39</v>
      </c>
      <c r="I483">
        <v>52747</v>
      </c>
      <c r="J483" t="s">
        <v>101</v>
      </c>
      <c r="K483" t="s">
        <v>23</v>
      </c>
    </row>
    <row r="484" spans="1:11" x14ac:dyDescent="0.3">
      <c r="A484" t="s">
        <v>609</v>
      </c>
      <c r="B484">
        <v>4</v>
      </c>
      <c r="C484">
        <v>1</v>
      </c>
      <c r="D484">
        <v>2026</v>
      </c>
      <c r="E484" t="s">
        <v>19</v>
      </c>
      <c r="F484" t="s">
        <v>38</v>
      </c>
      <c r="G484" t="s">
        <v>21</v>
      </c>
      <c r="H484" t="s">
        <v>629</v>
      </c>
      <c r="I484">
        <v>8114</v>
      </c>
      <c r="J484" t="s">
        <v>195</v>
      </c>
      <c r="K484" t="s">
        <v>16</v>
      </c>
    </row>
    <row r="485" spans="1:11" x14ac:dyDescent="0.3">
      <c r="A485" t="s">
        <v>610</v>
      </c>
      <c r="B485">
        <v>25</v>
      </c>
      <c r="C485">
        <v>3</v>
      </c>
      <c r="D485">
        <v>2026</v>
      </c>
      <c r="E485" t="s">
        <v>60</v>
      </c>
      <c r="F485" t="s">
        <v>12</v>
      </c>
      <c r="G485" t="s">
        <v>13</v>
      </c>
      <c r="H485" t="s">
        <v>629</v>
      </c>
      <c r="I485">
        <v>52395</v>
      </c>
      <c r="J485" t="s">
        <v>213</v>
      </c>
      <c r="K485" t="s">
        <v>41</v>
      </c>
    </row>
    <row r="486" spans="1:11" x14ac:dyDescent="0.3">
      <c r="A486" t="s">
        <v>611</v>
      </c>
      <c r="B486">
        <v>7</v>
      </c>
      <c r="C486">
        <v>1</v>
      </c>
      <c r="D486">
        <v>2026</v>
      </c>
      <c r="E486" t="s">
        <v>19</v>
      </c>
      <c r="F486" t="s">
        <v>38</v>
      </c>
      <c r="G486" t="s">
        <v>27</v>
      </c>
      <c r="H486" t="s">
        <v>28</v>
      </c>
      <c r="I486">
        <v>50082</v>
      </c>
      <c r="J486" t="s">
        <v>22</v>
      </c>
      <c r="K486" t="s">
        <v>30</v>
      </c>
    </row>
    <row r="487" spans="1:11" x14ac:dyDescent="0.3">
      <c r="A487" t="s">
        <v>612</v>
      </c>
      <c r="B487">
        <v>3</v>
      </c>
      <c r="C487">
        <v>3</v>
      </c>
      <c r="D487">
        <v>2026</v>
      </c>
      <c r="E487" t="s">
        <v>37</v>
      </c>
      <c r="F487" t="s">
        <v>26</v>
      </c>
      <c r="G487" t="s">
        <v>21</v>
      </c>
      <c r="H487" t="s">
        <v>28</v>
      </c>
      <c r="I487">
        <v>23824</v>
      </c>
      <c r="J487" t="s">
        <v>64</v>
      </c>
      <c r="K487" t="s">
        <v>30</v>
      </c>
    </row>
    <row r="488" spans="1:11" x14ac:dyDescent="0.3">
      <c r="A488" t="s">
        <v>613</v>
      </c>
      <c r="B488">
        <v>3</v>
      </c>
      <c r="C488">
        <v>1</v>
      </c>
      <c r="D488">
        <v>2026</v>
      </c>
      <c r="E488" t="s">
        <v>11</v>
      </c>
      <c r="F488" t="s">
        <v>26</v>
      </c>
      <c r="G488" t="s">
        <v>44</v>
      </c>
      <c r="H488" t="s">
        <v>14</v>
      </c>
      <c r="I488">
        <v>50542</v>
      </c>
      <c r="J488" t="s">
        <v>173</v>
      </c>
      <c r="K488" t="s">
        <v>30</v>
      </c>
    </row>
    <row r="489" spans="1:11" x14ac:dyDescent="0.3">
      <c r="A489" t="s">
        <v>614</v>
      </c>
      <c r="B489">
        <v>16</v>
      </c>
      <c r="C489">
        <v>2</v>
      </c>
      <c r="D489">
        <v>2026</v>
      </c>
      <c r="E489" t="s">
        <v>19</v>
      </c>
      <c r="F489" t="s">
        <v>20</v>
      </c>
      <c r="G489" t="s">
        <v>21</v>
      </c>
      <c r="H489" t="s">
        <v>14</v>
      </c>
      <c r="I489">
        <v>7154</v>
      </c>
      <c r="J489" t="s">
        <v>250</v>
      </c>
      <c r="K489" t="s">
        <v>41</v>
      </c>
    </row>
    <row r="490" spans="1:11" x14ac:dyDescent="0.3">
      <c r="A490" t="s">
        <v>615</v>
      </c>
      <c r="B490">
        <v>23</v>
      </c>
      <c r="C490">
        <v>3</v>
      </c>
      <c r="D490">
        <v>2026</v>
      </c>
      <c r="E490" t="s">
        <v>60</v>
      </c>
      <c r="F490" t="s">
        <v>20</v>
      </c>
      <c r="G490" t="s">
        <v>21</v>
      </c>
      <c r="H490" t="s">
        <v>629</v>
      </c>
      <c r="I490">
        <v>65755</v>
      </c>
      <c r="J490" t="s">
        <v>262</v>
      </c>
      <c r="K490" t="s">
        <v>41</v>
      </c>
    </row>
    <row r="491" spans="1:11" x14ac:dyDescent="0.3">
      <c r="A491" t="s">
        <v>616</v>
      </c>
      <c r="B491">
        <v>20</v>
      </c>
      <c r="C491">
        <v>2</v>
      </c>
      <c r="D491">
        <v>2026</v>
      </c>
      <c r="E491" t="s">
        <v>37</v>
      </c>
      <c r="F491" t="s">
        <v>38</v>
      </c>
      <c r="G491" t="s">
        <v>21</v>
      </c>
      <c r="H491" t="s">
        <v>14</v>
      </c>
      <c r="I491">
        <v>30818</v>
      </c>
      <c r="J491" t="s">
        <v>127</v>
      </c>
      <c r="K491" t="s">
        <v>41</v>
      </c>
    </row>
    <row r="492" spans="1:11" x14ac:dyDescent="0.3">
      <c r="A492" t="s">
        <v>617</v>
      </c>
      <c r="B492">
        <v>18</v>
      </c>
      <c r="C492">
        <v>2</v>
      </c>
      <c r="D492">
        <v>2026</v>
      </c>
      <c r="E492" t="s">
        <v>33</v>
      </c>
      <c r="F492" t="s">
        <v>20</v>
      </c>
      <c r="G492" t="s">
        <v>21</v>
      </c>
      <c r="H492" t="s">
        <v>28</v>
      </c>
      <c r="I492">
        <v>75065</v>
      </c>
      <c r="J492" t="s">
        <v>168</v>
      </c>
      <c r="K492" t="s">
        <v>41</v>
      </c>
    </row>
    <row r="493" spans="1:11" x14ac:dyDescent="0.3">
      <c r="A493" t="s">
        <v>618</v>
      </c>
      <c r="B493">
        <v>19</v>
      </c>
      <c r="C493">
        <v>3</v>
      </c>
      <c r="D493">
        <v>2026</v>
      </c>
      <c r="E493" t="s">
        <v>19</v>
      </c>
      <c r="F493" t="s">
        <v>20</v>
      </c>
      <c r="G493" t="s">
        <v>21</v>
      </c>
      <c r="H493" t="s">
        <v>61</v>
      </c>
      <c r="I493">
        <v>19279</v>
      </c>
      <c r="J493" t="s">
        <v>36</v>
      </c>
      <c r="K493" t="s">
        <v>30</v>
      </c>
    </row>
    <row r="494" spans="1:11" x14ac:dyDescent="0.3">
      <c r="A494" t="s">
        <v>619</v>
      </c>
      <c r="B494">
        <v>28</v>
      </c>
      <c r="C494">
        <v>1</v>
      </c>
      <c r="D494">
        <v>2026</v>
      </c>
      <c r="E494" t="s">
        <v>60</v>
      </c>
      <c r="F494" t="s">
        <v>12</v>
      </c>
      <c r="G494" t="s">
        <v>21</v>
      </c>
      <c r="H494" t="s">
        <v>14</v>
      </c>
      <c r="I494">
        <v>71473</v>
      </c>
      <c r="J494" t="s">
        <v>106</v>
      </c>
      <c r="K494" t="s">
        <v>41</v>
      </c>
    </row>
    <row r="495" spans="1:11" x14ac:dyDescent="0.3">
      <c r="A495" t="s">
        <v>620</v>
      </c>
      <c r="B495">
        <v>1</v>
      </c>
      <c r="C495">
        <v>2</v>
      </c>
      <c r="D495">
        <v>2026</v>
      </c>
      <c r="E495" t="s">
        <v>37</v>
      </c>
      <c r="F495" t="s">
        <v>12</v>
      </c>
      <c r="G495" t="s">
        <v>21</v>
      </c>
      <c r="H495" t="s">
        <v>28</v>
      </c>
      <c r="I495">
        <v>48120</v>
      </c>
      <c r="J495" t="s">
        <v>166</v>
      </c>
      <c r="K495" t="s">
        <v>41</v>
      </c>
    </row>
    <row r="496" spans="1:11" x14ac:dyDescent="0.3">
      <c r="A496" t="s">
        <v>621</v>
      </c>
      <c r="B496">
        <v>22</v>
      </c>
      <c r="C496">
        <v>3</v>
      </c>
      <c r="D496">
        <v>2026</v>
      </c>
      <c r="E496" t="s">
        <v>60</v>
      </c>
      <c r="F496" t="s">
        <v>38</v>
      </c>
      <c r="G496" t="s">
        <v>44</v>
      </c>
      <c r="H496" t="s">
        <v>39</v>
      </c>
      <c r="I496">
        <v>64596</v>
      </c>
      <c r="J496" t="s">
        <v>101</v>
      </c>
      <c r="K496" t="s">
        <v>16</v>
      </c>
    </row>
    <row r="497" spans="1:11" x14ac:dyDescent="0.3">
      <c r="A497" t="s">
        <v>622</v>
      </c>
      <c r="B497">
        <v>23</v>
      </c>
      <c r="C497">
        <v>1</v>
      </c>
      <c r="D497">
        <v>2026</v>
      </c>
      <c r="E497" t="s">
        <v>33</v>
      </c>
      <c r="F497" t="s">
        <v>20</v>
      </c>
      <c r="G497" t="s">
        <v>27</v>
      </c>
      <c r="H497" t="s">
        <v>629</v>
      </c>
      <c r="I497">
        <v>22460</v>
      </c>
      <c r="J497" t="s">
        <v>59</v>
      </c>
      <c r="K497" t="s">
        <v>30</v>
      </c>
    </row>
    <row r="498" spans="1:11" x14ac:dyDescent="0.3">
      <c r="A498" t="s">
        <v>623</v>
      </c>
      <c r="B498">
        <v>7</v>
      </c>
      <c r="C498">
        <v>3</v>
      </c>
      <c r="D498">
        <v>2026</v>
      </c>
      <c r="E498" t="s">
        <v>19</v>
      </c>
      <c r="F498" t="s">
        <v>20</v>
      </c>
      <c r="G498" t="s">
        <v>27</v>
      </c>
      <c r="H498" t="s">
        <v>629</v>
      </c>
      <c r="I498">
        <v>76347</v>
      </c>
      <c r="J498" t="s">
        <v>233</v>
      </c>
      <c r="K498" t="s">
        <v>41</v>
      </c>
    </row>
    <row r="499" spans="1:11" x14ac:dyDescent="0.3">
      <c r="A499" t="s">
        <v>624</v>
      </c>
      <c r="B499">
        <v>2</v>
      </c>
      <c r="C499">
        <v>1</v>
      </c>
      <c r="D499">
        <v>2026</v>
      </c>
      <c r="E499" t="s">
        <v>19</v>
      </c>
      <c r="F499" t="s">
        <v>20</v>
      </c>
      <c r="G499" t="s">
        <v>21</v>
      </c>
      <c r="H499" t="s">
        <v>28</v>
      </c>
      <c r="I499">
        <v>33425</v>
      </c>
      <c r="J499" t="s">
        <v>297</v>
      </c>
      <c r="K499" t="s">
        <v>23</v>
      </c>
    </row>
    <row r="500" spans="1:11" x14ac:dyDescent="0.3">
      <c r="A500" t="s">
        <v>625</v>
      </c>
      <c r="B500">
        <v>7</v>
      </c>
      <c r="C500">
        <v>3</v>
      </c>
      <c r="D500">
        <v>2026</v>
      </c>
      <c r="E500" t="s">
        <v>19</v>
      </c>
      <c r="F500" t="s">
        <v>12</v>
      </c>
      <c r="G500" t="s">
        <v>44</v>
      </c>
      <c r="H500" t="s">
        <v>14</v>
      </c>
      <c r="I500">
        <v>54670</v>
      </c>
      <c r="J500" t="s">
        <v>325</v>
      </c>
      <c r="K500" t="s">
        <v>23</v>
      </c>
    </row>
    <row r="501" spans="1:11" x14ac:dyDescent="0.3">
      <c r="A501" t="s">
        <v>626</v>
      </c>
      <c r="B501">
        <v>8</v>
      </c>
      <c r="C501">
        <v>1</v>
      </c>
      <c r="D501">
        <v>2026</v>
      </c>
      <c r="E501" t="s">
        <v>37</v>
      </c>
      <c r="F501" t="s">
        <v>26</v>
      </c>
      <c r="G501" t="s">
        <v>21</v>
      </c>
      <c r="H501" t="s">
        <v>14</v>
      </c>
      <c r="I501">
        <v>54387</v>
      </c>
      <c r="J501" t="s">
        <v>153</v>
      </c>
      <c r="K501" t="s">
        <v>41</v>
      </c>
    </row>
  </sheetData>
  <pageMargins left="0.7" right="0.7" top="0.75" bottom="0.75" header="0.3" footer="0.3"/>
  <tableParts count="7">
    <tablePart r:id="rId1"/>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4F48-228A-424C-BA15-A391D4D17C1E}">
  <dimension ref="A3:E4"/>
  <sheetViews>
    <sheetView workbookViewId="0">
      <selection activeCell="A3" sqref="A3:E3"/>
    </sheetView>
  </sheetViews>
  <sheetFormatPr defaultRowHeight="14.4" x14ac:dyDescent="0.3"/>
  <cols>
    <col min="1" max="1" width="17.6640625" bestFit="1" customWidth="1"/>
    <col min="2" max="2" width="22.6640625" bestFit="1" customWidth="1"/>
    <col min="3" max="3" width="22.44140625" bestFit="1" customWidth="1"/>
    <col min="4" max="4" width="20.5546875" bestFit="1" customWidth="1"/>
    <col min="5" max="5" width="23.6640625" bestFit="1" customWidth="1"/>
  </cols>
  <sheetData>
    <row r="3" spans="1:5" x14ac:dyDescent="0.3">
      <c r="A3" s="7" t="s">
        <v>637</v>
      </c>
      <c r="B3" s="7" t="s">
        <v>643</v>
      </c>
      <c r="C3" s="7" t="s">
        <v>644</v>
      </c>
      <c r="D3" s="7" t="s">
        <v>645</v>
      </c>
      <c r="E3" s="7" t="s">
        <v>646</v>
      </c>
    </row>
    <row r="4" spans="1:5" x14ac:dyDescent="0.3">
      <c r="A4" s="6">
        <v>500</v>
      </c>
      <c r="B4" s="6">
        <v>119</v>
      </c>
      <c r="C4" s="6">
        <v>0.23799999999999999</v>
      </c>
      <c r="D4" s="6">
        <v>21185879</v>
      </c>
      <c r="E4" s="6">
        <v>42371.758000000002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EDEF-2CCB-452E-8DD3-4B3FBF59084A}">
  <dimension ref="A3:B10"/>
  <sheetViews>
    <sheetView workbookViewId="0">
      <selection activeCell="P26" sqref="P26"/>
    </sheetView>
  </sheetViews>
  <sheetFormatPr defaultRowHeight="14.4" x14ac:dyDescent="0.3"/>
  <cols>
    <col min="1" max="1" width="12.5546875" bestFit="1" customWidth="1"/>
    <col min="2" max="2" width="14.109375" bestFit="1" customWidth="1"/>
  </cols>
  <sheetData>
    <row r="3" spans="1:2" x14ac:dyDescent="0.3">
      <c r="A3" s="1" t="s">
        <v>634</v>
      </c>
      <c r="B3" t="s">
        <v>638</v>
      </c>
    </row>
    <row r="4" spans="1:2" x14ac:dyDescent="0.3">
      <c r="A4" s="2" t="s">
        <v>19</v>
      </c>
      <c r="B4" s="8">
        <v>113</v>
      </c>
    </row>
    <row r="5" spans="1:2" x14ac:dyDescent="0.3">
      <c r="A5" s="2" t="s">
        <v>60</v>
      </c>
      <c r="B5" s="8">
        <v>93</v>
      </c>
    </row>
    <row r="6" spans="1:2" x14ac:dyDescent="0.3">
      <c r="A6" s="2" t="s">
        <v>37</v>
      </c>
      <c r="B6" s="8">
        <v>108</v>
      </c>
    </row>
    <row r="7" spans="1:2" x14ac:dyDescent="0.3">
      <c r="A7" s="2" t="s">
        <v>33</v>
      </c>
      <c r="B7" s="8">
        <v>88</v>
      </c>
    </row>
    <row r="8" spans="1:2" x14ac:dyDescent="0.3">
      <c r="A8" s="2" t="s">
        <v>11</v>
      </c>
      <c r="B8" s="8">
        <v>98</v>
      </c>
    </row>
    <row r="9" spans="1:2" x14ac:dyDescent="0.3">
      <c r="A9" s="2" t="s">
        <v>636</v>
      </c>
      <c r="B9" s="8"/>
    </row>
    <row r="10" spans="1:2" x14ac:dyDescent="0.3">
      <c r="A10" s="2" t="s">
        <v>635</v>
      </c>
      <c r="B10" s="8">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88F5E-F9B9-4754-AC2E-79039ABAD912}">
  <dimension ref="A3:C9"/>
  <sheetViews>
    <sheetView workbookViewId="0">
      <selection activeCell="K29" sqref="K29"/>
    </sheetView>
  </sheetViews>
  <sheetFormatPr defaultRowHeight="14.4" x14ac:dyDescent="0.3"/>
  <cols>
    <col min="1" max="1" width="12.5546875" bestFit="1" customWidth="1"/>
    <col min="2" max="2" width="15.109375" bestFit="1" customWidth="1"/>
    <col min="3" max="3" width="16.44140625" bestFit="1" customWidth="1"/>
    <col min="4" max="4" width="8" bestFit="1" customWidth="1"/>
    <col min="5" max="5" width="7" bestFit="1" customWidth="1"/>
    <col min="6" max="7" width="10.6640625" bestFit="1" customWidth="1"/>
  </cols>
  <sheetData>
    <row r="3" spans="1:3" x14ac:dyDescent="0.3">
      <c r="A3" s="1" t="s">
        <v>634</v>
      </c>
      <c r="B3" t="s">
        <v>640</v>
      </c>
      <c r="C3" t="s">
        <v>639</v>
      </c>
    </row>
    <row r="4" spans="1:3" x14ac:dyDescent="0.3">
      <c r="A4" s="2" t="s">
        <v>27</v>
      </c>
      <c r="B4" s="8">
        <v>121</v>
      </c>
      <c r="C4" s="8">
        <v>5033705</v>
      </c>
    </row>
    <row r="5" spans="1:3" x14ac:dyDescent="0.3">
      <c r="A5" s="2" t="s">
        <v>44</v>
      </c>
      <c r="B5" s="8">
        <v>125</v>
      </c>
      <c r="C5" s="8">
        <v>5282321</v>
      </c>
    </row>
    <row r="6" spans="1:3" x14ac:dyDescent="0.3">
      <c r="A6" s="2" t="s">
        <v>21</v>
      </c>
      <c r="B6" s="8">
        <v>138</v>
      </c>
      <c r="C6" s="8">
        <v>5504462</v>
      </c>
    </row>
    <row r="7" spans="1:3" x14ac:dyDescent="0.3">
      <c r="A7" s="2" t="s">
        <v>13</v>
      </c>
      <c r="B7" s="8">
        <v>116</v>
      </c>
      <c r="C7" s="8">
        <v>5365391</v>
      </c>
    </row>
    <row r="8" spans="1:3" x14ac:dyDescent="0.3">
      <c r="A8" s="2" t="s">
        <v>636</v>
      </c>
      <c r="B8" s="8"/>
      <c r="C8" s="8"/>
    </row>
    <row r="9" spans="1:3" x14ac:dyDescent="0.3">
      <c r="A9" s="2" t="s">
        <v>635</v>
      </c>
      <c r="B9" s="8">
        <v>500</v>
      </c>
      <c r="C9" s="8">
        <v>21185879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CA1B8-7BA7-4CE4-ADAB-D9810FCA6CF7}">
  <dimension ref="A2:B8"/>
  <sheetViews>
    <sheetView workbookViewId="0">
      <selection activeCell="I24" sqref="I24"/>
    </sheetView>
  </sheetViews>
  <sheetFormatPr defaultRowHeight="14.4" x14ac:dyDescent="0.3"/>
  <cols>
    <col min="1" max="1" width="12.5546875" bestFit="1" customWidth="1"/>
    <col min="2" max="2" width="16.44140625" bestFit="1" customWidth="1"/>
  </cols>
  <sheetData>
    <row r="2" spans="1:2" x14ac:dyDescent="0.3">
      <c r="A2" s="1" t="s">
        <v>634</v>
      </c>
      <c r="B2" t="s">
        <v>639</v>
      </c>
    </row>
    <row r="3" spans="1:2" x14ac:dyDescent="0.3">
      <c r="A3" s="2" t="s">
        <v>41</v>
      </c>
      <c r="B3" s="8">
        <v>5316040</v>
      </c>
    </row>
    <row r="4" spans="1:2" x14ac:dyDescent="0.3">
      <c r="A4" s="2" t="s">
        <v>30</v>
      </c>
      <c r="B4" s="8">
        <v>4641580</v>
      </c>
    </row>
    <row r="5" spans="1:2" x14ac:dyDescent="0.3">
      <c r="A5" s="2" t="s">
        <v>23</v>
      </c>
      <c r="B5" s="8">
        <v>6228113</v>
      </c>
    </row>
    <row r="6" spans="1:2" x14ac:dyDescent="0.3">
      <c r="A6" s="2" t="s">
        <v>16</v>
      </c>
      <c r="B6" s="8">
        <v>5000146</v>
      </c>
    </row>
    <row r="7" spans="1:2" x14ac:dyDescent="0.3">
      <c r="A7" s="2" t="s">
        <v>636</v>
      </c>
      <c r="B7" s="8"/>
    </row>
    <row r="8" spans="1:2" x14ac:dyDescent="0.3">
      <c r="A8" s="2" t="s">
        <v>635</v>
      </c>
      <c r="B8" s="8">
        <v>21185879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56BA-F07C-4D72-A858-2C66866E472E}">
  <dimension ref="A2:B9"/>
  <sheetViews>
    <sheetView workbookViewId="0">
      <selection activeCell="I30" sqref="I30"/>
    </sheetView>
  </sheetViews>
  <sheetFormatPr defaultRowHeight="14.4" x14ac:dyDescent="0.3"/>
  <cols>
    <col min="1" max="1" width="12.5546875" bestFit="1" customWidth="1"/>
    <col min="2" max="2" width="15.109375" bestFit="1" customWidth="1"/>
  </cols>
  <sheetData>
    <row r="2" spans="1:2" x14ac:dyDescent="0.3">
      <c r="A2" s="1" t="s">
        <v>634</v>
      </c>
      <c r="B2" t="s">
        <v>640</v>
      </c>
    </row>
    <row r="3" spans="1:2" x14ac:dyDescent="0.3">
      <c r="A3" s="2" t="s">
        <v>629</v>
      </c>
      <c r="B3" s="8">
        <v>119</v>
      </c>
    </row>
    <row r="4" spans="1:2" x14ac:dyDescent="0.3">
      <c r="A4" s="2" t="s">
        <v>28</v>
      </c>
      <c r="B4" s="8">
        <v>86</v>
      </c>
    </row>
    <row r="5" spans="1:2" x14ac:dyDescent="0.3">
      <c r="A5" s="2" t="s">
        <v>39</v>
      </c>
      <c r="B5" s="8">
        <v>90</v>
      </c>
    </row>
    <row r="6" spans="1:2" x14ac:dyDescent="0.3">
      <c r="A6" s="2" t="s">
        <v>61</v>
      </c>
      <c r="B6" s="8">
        <v>90</v>
      </c>
    </row>
    <row r="7" spans="1:2" x14ac:dyDescent="0.3">
      <c r="A7" s="2" t="s">
        <v>14</v>
      </c>
      <c r="B7" s="8">
        <v>115</v>
      </c>
    </row>
    <row r="8" spans="1:2" x14ac:dyDescent="0.3">
      <c r="A8" s="2" t="s">
        <v>636</v>
      </c>
      <c r="B8" s="8"/>
    </row>
    <row r="9" spans="1:2" x14ac:dyDescent="0.3">
      <c r="A9" s="2" t="s">
        <v>635</v>
      </c>
      <c r="B9" s="8">
        <v>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FBFC-1C27-493E-A55E-FBDB370EE4F2}">
  <dimension ref="A3:C9"/>
  <sheetViews>
    <sheetView workbookViewId="0">
      <selection activeCell="O28" sqref="O28"/>
    </sheetView>
  </sheetViews>
  <sheetFormatPr defaultRowHeight="14.4" x14ac:dyDescent="0.3"/>
  <cols>
    <col min="1" max="1" width="12.5546875" bestFit="1" customWidth="1"/>
    <col min="2" max="2" width="16.44140625" bestFit="1" customWidth="1"/>
    <col min="3" max="3" width="15.109375" bestFit="1" customWidth="1"/>
  </cols>
  <sheetData>
    <row r="3" spans="1:3" x14ac:dyDescent="0.3">
      <c r="A3" s="1" t="s">
        <v>634</v>
      </c>
      <c r="B3" t="s">
        <v>639</v>
      </c>
      <c r="C3" t="s">
        <v>640</v>
      </c>
    </row>
    <row r="4" spans="1:3" x14ac:dyDescent="0.3">
      <c r="A4" s="2">
        <v>1</v>
      </c>
      <c r="B4" s="8">
        <v>6560443</v>
      </c>
      <c r="C4" s="8">
        <v>148</v>
      </c>
    </row>
    <row r="5" spans="1:3" x14ac:dyDescent="0.3">
      <c r="A5" s="2">
        <v>2</v>
      </c>
      <c r="B5" s="8">
        <v>6861685</v>
      </c>
      <c r="C5" s="8">
        <v>173</v>
      </c>
    </row>
    <row r="6" spans="1:3" x14ac:dyDescent="0.3">
      <c r="A6" s="2">
        <v>3</v>
      </c>
      <c r="B6" s="8">
        <v>7534971</v>
      </c>
      <c r="C6" s="8">
        <v>173</v>
      </c>
    </row>
    <row r="7" spans="1:3" x14ac:dyDescent="0.3">
      <c r="A7" s="2">
        <v>4</v>
      </c>
      <c r="B7" s="8">
        <v>228780</v>
      </c>
      <c r="C7" s="8">
        <v>6</v>
      </c>
    </row>
    <row r="8" spans="1:3" x14ac:dyDescent="0.3">
      <c r="A8" s="2" t="s">
        <v>636</v>
      </c>
      <c r="B8" s="8"/>
      <c r="C8" s="8"/>
    </row>
    <row r="9" spans="1:3" x14ac:dyDescent="0.3">
      <c r="A9" s="2" t="s">
        <v>635</v>
      </c>
      <c r="B9" s="8">
        <v>21185879</v>
      </c>
      <c r="C9" s="8">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DBCCB-F793-47E8-AD57-AF854452BA8A}">
  <dimension ref="B3:AB41"/>
  <sheetViews>
    <sheetView showGridLines="0" tabSelected="1" topLeftCell="A4" zoomScale="69" zoomScaleNormal="85" workbookViewId="0">
      <selection activeCell="AF10" sqref="AF10"/>
    </sheetView>
  </sheetViews>
  <sheetFormatPr defaultRowHeight="14.4" x14ac:dyDescent="0.3"/>
  <cols>
    <col min="3" max="3" width="10.6640625" bestFit="1" customWidth="1"/>
  </cols>
  <sheetData>
    <row r="3" spans="2:28" x14ac:dyDescent="0.3">
      <c r="B3" s="9"/>
      <c r="C3" s="9"/>
      <c r="D3" s="9"/>
      <c r="E3" s="9"/>
      <c r="F3" s="9"/>
      <c r="G3" s="9"/>
      <c r="H3" s="9"/>
      <c r="I3" s="9"/>
      <c r="J3" s="9"/>
      <c r="K3" s="9"/>
      <c r="L3" s="9"/>
      <c r="M3" s="9"/>
      <c r="N3" s="9"/>
      <c r="O3" s="9"/>
      <c r="P3" s="9"/>
      <c r="Q3" s="9"/>
      <c r="R3" s="9"/>
      <c r="S3" s="9"/>
      <c r="T3" s="9"/>
      <c r="U3" s="9"/>
      <c r="V3" s="9"/>
      <c r="W3" s="9"/>
      <c r="X3" s="9"/>
      <c r="Y3" s="9"/>
      <c r="Z3" s="9"/>
      <c r="AA3" s="9"/>
      <c r="AB3" s="9"/>
    </row>
    <row r="4" spans="2:28" x14ac:dyDescent="0.3">
      <c r="B4" s="9"/>
      <c r="C4" s="9"/>
      <c r="D4" s="9"/>
      <c r="E4" s="9"/>
      <c r="F4" s="9"/>
      <c r="G4" s="9"/>
      <c r="H4" s="9"/>
      <c r="I4" s="9"/>
      <c r="J4" s="9"/>
      <c r="K4" s="9"/>
      <c r="L4" s="9"/>
      <c r="M4" s="9"/>
      <c r="N4" s="9"/>
      <c r="O4" s="9"/>
      <c r="P4" s="9"/>
      <c r="Q4" s="9"/>
      <c r="R4" s="9"/>
      <c r="S4" s="9"/>
      <c r="T4" s="9"/>
      <c r="U4" s="9"/>
      <c r="V4" s="9"/>
      <c r="W4" s="9"/>
      <c r="X4" s="9"/>
      <c r="Y4" s="9"/>
      <c r="Z4" s="9"/>
      <c r="AA4" s="9"/>
      <c r="AB4" s="9"/>
    </row>
    <row r="5" spans="2:28" x14ac:dyDescent="0.3">
      <c r="B5" s="9"/>
      <c r="C5" s="9"/>
      <c r="D5" s="9"/>
      <c r="E5" s="9"/>
      <c r="F5" s="9"/>
      <c r="G5" s="9"/>
      <c r="H5" s="9"/>
      <c r="I5" s="9"/>
      <c r="J5" s="9"/>
      <c r="K5" s="9"/>
      <c r="L5" s="9"/>
      <c r="M5" s="9"/>
      <c r="N5" s="9"/>
      <c r="O5" s="9"/>
      <c r="P5" s="9"/>
      <c r="Q5" s="9"/>
      <c r="R5" s="9"/>
      <c r="S5" s="9"/>
      <c r="T5" s="9"/>
      <c r="U5" s="9"/>
      <c r="V5" s="9"/>
      <c r="W5" s="9"/>
      <c r="X5" s="9"/>
      <c r="Y5" s="9"/>
      <c r="Z5" s="9"/>
      <c r="AA5" s="9"/>
      <c r="AB5" s="9"/>
    </row>
    <row r="6" spans="2:28" x14ac:dyDescent="0.3">
      <c r="B6" s="9"/>
      <c r="C6" s="9"/>
      <c r="D6" s="9"/>
      <c r="E6" s="9"/>
      <c r="F6" s="9"/>
      <c r="G6" s="9"/>
      <c r="H6" s="9"/>
      <c r="I6" s="9"/>
      <c r="J6" s="9"/>
      <c r="K6" s="9"/>
      <c r="L6" s="9"/>
      <c r="M6" s="9"/>
      <c r="N6" s="9"/>
      <c r="O6" s="9"/>
      <c r="P6" s="9"/>
      <c r="Q6" s="9"/>
      <c r="R6" s="9"/>
      <c r="S6" s="9"/>
      <c r="T6" s="9"/>
      <c r="U6" s="9"/>
      <c r="V6" s="9"/>
      <c r="W6" s="9"/>
      <c r="X6" s="9"/>
      <c r="Y6" s="9"/>
      <c r="Z6" s="9"/>
      <c r="AA6" s="9"/>
      <c r="AB6" s="9"/>
    </row>
    <row r="7" spans="2:28" x14ac:dyDescent="0.3">
      <c r="B7" s="9"/>
      <c r="C7" s="9"/>
      <c r="D7" s="9"/>
      <c r="E7" s="9"/>
      <c r="F7" s="9"/>
      <c r="G7" s="9"/>
      <c r="H7" s="9"/>
      <c r="I7" s="9"/>
      <c r="J7" s="9"/>
      <c r="K7" s="9"/>
      <c r="L7" s="9"/>
      <c r="M7" s="9"/>
      <c r="N7" s="9"/>
      <c r="O7" s="9"/>
      <c r="P7" s="9"/>
      <c r="Q7" s="9"/>
      <c r="R7" s="9"/>
      <c r="S7" s="9"/>
      <c r="T7" s="9"/>
      <c r="U7" s="9"/>
      <c r="V7" s="9"/>
      <c r="W7" s="9"/>
      <c r="X7" s="9"/>
      <c r="Y7" s="9"/>
      <c r="Z7" s="9"/>
      <c r="AA7" s="9"/>
      <c r="AB7" s="9"/>
    </row>
    <row r="8" spans="2:28" ht="31.2" x14ac:dyDescent="0.6">
      <c r="B8" s="9"/>
      <c r="C8" s="9"/>
      <c r="D8" s="10">
        <f>GETPIVOTDATA("Sum of Total Leads",KPI!$A$3)</f>
        <v>500</v>
      </c>
      <c r="E8" s="9"/>
      <c r="F8" s="9"/>
      <c r="G8" s="9"/>
      <c r="H8" s="9"/>
      <c r="I8" s="11">
        <f>GETPIVOTDATA("Sum of Converted Leads",KPI!$A$3)</f>
        <v>119</v>
      </c>
      <c r="J8" s="12"/>
      <c r="K8" s="9"/>
      <c r="L8" s="9"/>
      <c r="M8" s="9"/>
      <c r="N8" s="13">
        <f>GETPIVOTDATA("Sum of Conversion Rate",KPI!$A$3)</f>
        <v>0.23799999999999999</v>
      </c>
      <c r="O8" s="13"/>
      <c r="P8" s="9"/>
      <c r="Q8" s="9"/>
      <c r="R8" s="9"/>
      <c r="S8" s="11">
        <f>GETPIVOTDATA("Sum of Total Revenue",KPI!$A$3)</f>
        <v>21185879</v>
      </c>
      <c r="T8" s="11"/>
      <c r="U8" s="11"/>
      <c r="V8" s="9"/>
      <c r="W8" s="9"/>
      <c r="X8" s="11">
        <f>GETPIVOTDATA("Sum of Average Deal Size",KPI!$A$3)</f>
        <v>42371.758000000002</v>
      </c>
      <c r="Y8" s="12"/>
      <c r="Z8" s="12"/>
      <c r="AA8" s="9"/>
      <c r="AB8" s="9"/>
    </row>
    <row r="9" spans="2:28" x14ac:dyDescent="0.3">
      <c r="B9" s="9"/>
      <c r="C9" s="9"/>
      <c r="D9" s="9"/>
      <c r="E9" s="9"/>
      <c r="F9" s="9"/>
      <c r="G9" s="9"/>
      <c r="H9" s="9"/>
      <c r="I9" s="9"/>
      <c r="J9" s="9"/>
      <c r="K9" s="9"/>
      <c r="L9" s="9"/>
      <c r="M9" s="9"/>
      <c r="N9" s="9"/>
      <c r="O9" s="9"/>
      <c r="P9" s="9"/>
      <c r="Q9" s="9"/>
      <c r="R9" s="9"/>
      <c r="S9" s="9"/>
      <c r="T9" s="9"/>
      <c r="U9" s="9"/>
      <c r="V9" s="9"/>
      <c r="W9" s="9"/>
      <c r="X9" s="9"/>
      <c r="Y9" s="9"/>
      <c r="Z9" s="9"/>
      <c r="AA9" s="9"/>
      <c r="AB9" s="9"/>
    </row>
    <row r="10" spans="2:28" x14ac:dyDescent="0.3">
      <c r="B10" s="9"/>
      <c r="C10" s="9"/>
      <c r="D10" s="9"/>
      <c r="E10" s="9"/>
      <c r="F10" s="9"/>
      <c r="G10" s="9"/>
      <c r="H10" s="9"/>
      <c r="I10" s="9"/>
      <c r="J10" s="9"/>
      <c r="K10" s="9"/>
      <c r="L10" s="9"/>
      <c r="M10" s="9"/>
      <c r="N10" s="9"/>
      <c r="O10" s="9"/>
      <c r="P10" s="9"/>
      <c r="Q10" s="9"/>
      <c r="R10" s="9"/>
      <c r="S10" s="9"/>
      <c r="T10" s="9"/>
      <c r="U10" s="9"/>
      <c r="V10" s="9"/>
      <c r="W10" s="9"/>
      <c r="X10" s="9"/>
      <c r="Y10" s="9"/>
      <c r="Z10" s="9"/>
      <c r="AA10" s="9"/>
      <c r="AB10" s="9"/>
    </row>
    <row r="11" spans="2:28" x14ac:dyDescent="0.3">
      <c r="B11" s="9"/>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2:28" x14ac:dyDescent="0.3">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spans="2:28" x14ac:dyDescent="0.3">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spans="2:28" x14ac:dyDescent="0.3">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spans="2:28" x14ac:dyDescent="0.3">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spans="2:28" x14ac:dyDescent="0.3">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spans="2:28" x14ac:dyDescent="0.3">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spans="2:28" x14ac:dyDescent="0.3">
      <c r="B18" s="9"/>
      <c r="C18" s="9"/>
      <c r="D18" s="9"/>
      <c r="E18" s="9"/>
      <c r="F18" s="9"/>
      <c r="G18" s="9"/>
      <c r="H18" s="9"/>
      <c r="I18" s="9"/>
      <c r="J18" s="9"/>
      <c r="K18" s="9"/>
      <c r="L18" s="9"/>
      <c r="M18" s="9"/>
      <c r="N18" s="9"/>
      <c r="O18" s="9"/>
      <c r="P18" s="9"/>
      <c r="Q18" s="9"/>
      <c r="R18" s="9"/>
      <c r="S18" s="9"/>
      <c r="T18" s="9"/>
      <c r="U18" s="9"/>
      <c r="V18" s="9"/>
      <c r="W18" s="9"/>
      <c r="X18" s="9"/>
      <c r="Y18" s="9"/>
      <c r="Z18" s="9"/>
      <c r="AA18" s="9"/>
      <c r="AB18" s="9"/>
    </row>
    <row r="19" spans="2:28" x14ac:dyDescent="0.3">
      <c r="B19" s="9"/>
      <c r="C19" s="9"/>
      <c r="D19" s="9"/>
      <c r="E19" s="9"/>
      <c r="F19" s="9"/>
      <c r="G19" s="9"/>
      <c r="H19" s="9"/>
      <c r="I19" s="9"/>
      <c r="J19" s="9"/>
      <c r="K19" s="9"/>
      <c r="L19" s="9"/>
      <c r="M19" s="9"/>
      <c r="N19" s="9"/>
      <c r="O19" s="9"/>
      <c r="P19" s="9"/>
      <c r="Q19" s="9"/>
      <c r="R19" s="9"/>
      <c r="S19" s="9"/>
      <c r="T19" s="9"/>
      <c r="U19" s="9"/>
      <c r="V19" s="9"/>
      <c r="W19" s="9"/>
      <c r="X19" s="9"/>
      <c r="Y19" s="9"/>
      <c r="Z19" s="9"/>
      <c r="AA19" s="9"/>
      <c r="AB19" s="9"/>
    </row>
    <row r="20" spans="2:28" x14ac:dyDescent="0.3">
      <c r="B20" s="9"/>
      <c r="C20" s="9"/>
      <c r="D20" s="9"/>
      <c r="E20" s="9"/>
      <c r="F20" s="9"/>
      <c r="G20" s="9"/>
      <c r="H20" s="9"/>
      <c r="I20" s="9"/>
      <c r="J20" s="9"/>
      <c r="K20" s="9"/>
      <c r="L20" s="9"/>
      <c r="M20" s="9"/>
      <c r="N20" s="9"/>
      <c r="O20" s="9"/>
      <c r="P20" s="9"/>
      <c r="Q20" s="9"/>
      <c r="R20" s="9"/>
      <c r="S20" s="9"/>
      <c r="T20" s="9"/>
      <c r="U20" s="9"/>
      <c r="V20" s="9"/>
      <c r="W20" s="9"/>
      <c r="X20" s="9"/>
      <c r="Y20" s="9"/>
      <c r="Z20" s="9"/>
      <c r="AA20" s="9"/>
      <c r="AB20" s="9"/>
    </row>
    <row r="21" spans="2:28" x14ac:dyDescent="0.3">
      <c r="B21" s="9"/>
      <c r="C21" s="9"/>
      <c r="D21" s="9"/>
      <c r="E21" s="9"/>
      <c r="F21" s="9"/>
      <c r="G21" s="9"/>
      <c r="H21" s="9"/>
      <c r="I21" s="9"/>
      <c r="J21" s="9"/>
      <c r="K21" s="9"/>
      <c r="L21" s="9"/>
      <c r="M21" s="9"/>
      <c r="N21" s="9"/>
      <c r="O21" s="9"/>
      <c r="P21" s="9"/>
      <c r="Q21" s="9"/>
      <c r="R21" s="9"/>
      <c r="S21" s="9"/>
      <c r="T21" s="9"/>
      <c r="U21" s="9"/>
      <c r="V21" s="9"/>
      <c r="W21" s="9"/>
      <c r="X21" s="9"/>
      <c r="Y21" s="9"/>
      <c r="Z21" s="9"/>
      <c r="AA21" s="9"/>
      <c r="AB21" s="9"/>
    </row>
    <row r="22" spans="2:28" x14ac:dyDescent="0.3">
      <c r="B22" s="9"/>
      <c r="C22" s="9"/>
      <c r="D22" s="9"/>
      <c r="E22" s="9"/>
      <c r="F22" s="9"/>
      <c r="G22" s="9"/>
      <c r="H22" s="9"/>
      <c r="I22" s="9"/>
      <c r="J22" s="9"/>
      <c r="K22" s="9"/>
      <c r="L22" s="9"/>
      <c r="M22" s="9"/>
      <c r="N22" s="9"/>
      <c r="O22" s="9"/>
      <c r="P22" s="9"/>
      <c r="Q22" s="9"/>
      <c r="R22" s="9"/>
      <c r="S22" s="9"/>
      <c r="T22" s="9"/>
      <c r="U22" s="9"/>
      <c r="V22" s="9"/>
      <c r="W22" s="9"/>
      <c r="X22" s="9"/>
      <c r="Y22" s="9"/>
      <c r="Z22" s="9"/>
      <c r="AA22" s="9"/>
      <c r="AB22" s="9"/>
    </row>
    <row r="23" spans="2:28" x14ac:dyDescent="0.3">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spans="2:28" x14ac:dyDescent="0.3">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spans="2:28" x14ac:dyDescent="0.3">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spans="2:28" x14ac:dyDescent="0.3">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spans="2:28" x14ac:dyDescent="0.3">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spans="2:28" x14ac:dyDescent="0.3">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spans="2:28" x14ac:dyDescent="0.3">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spans="2:28" x14ac:dyDescent="0.3">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spans="2:28" x14ac:dyDescent="0.3">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spans="2:28" x14ac:dyDescent="0.3">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spans="2:28" x14ac:dyDescent="0.3">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spans="2:28" x14ac:dyDescent="0.3">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spans="2:28" x14ac:dyDescent="0.3">
      <c r="B35" s="9"/>
      <c r="C35" s="9"/>
      <c r="D35" s="9"/>
      <c r="E35" s="9"/>
      <c r="F35" s="9"/>
      <c r="G35" s="9"/>
      <c r="H35" s="9"/>
      <c r="I35" s="9"/>
      <c r="J35" s="9"/>
      <c r="K35" s="9"/>
      <c r="L35" s="9"/>
      <c r="M35" s="9"/>
      <c r="N35" s="9"/>
      <c r="O35" s="9"/>
      <c r="P35" s="9"/>
      <c r="Q35" s="9"/>
      <c r="R35" s="9"/>
      <c r="S35" s="9"/>
      <c r="T35" s="9"/>
      <c r="U35" s="9"/>
      <c r="V35" s="9"/>
      <c r="W35" s="9"/>
      <c r="X35" s="9"/>
      <c r="Y35" s="9"/>
      <c r="Z35" s="9"/>
      <c r="AA35" s="9"/>
      <c r="AB35" s="9"/>
    </row>
    <row r="36" spans="2:28" x14ac:dyDescent="0.3">
      <c r="B36" s="9"/>
      <c r="C36" s="9"/>
      <c r="D36" s="9"/>
      <c r="E36" s="9"/>
      <c r="F36" s="9"/>
      <c r="G36" s="9"/>
      <c r="H36" s="9"/>
      <c r="I36" s="9"/>
      <c r="J36" s="9"/>
      <c r="K36" s="9"/>
      <c r="L36" s="9"/>
      <c r="M36" s="9"/>
      <c r="N36" s="9"/>
      <c r="O36" s="9"/>
      <c r="P36" s="9"/>
      <c r="Q36" s="9"/>
      <c r="R36" s="9"/>
      <c r="S36" s="9"/>
      <c r="T36" s="9"/>
      <c r="U36" s="9"/>
      <c r="V36" s="9"/>
      <c r="W36" s="9"/>
      <c r="X36" s="9"/>
      <c r="Y36" s="9"/>
      <c r="Z36" s="9"/>
      <c r="AA36" s="9"/>
      <c r="AB36" s="9"/>
    </row>
    <row r="37" spans="2:28" x14ac:dyDescent="0.3">
      <c r="B37" s="9"/>
      <c r="C37" s="9"/>
      <c r="D37" s="9"/>
      <c r="E37" s="9"/>
      <c r="F37" s="9"/>
      <c r="G37" s="9"/>
      <c r="H37" s="9"/>
      <c r="I37" s="9"/>
      <c r="J37" s="9"/>
      <c r="K37" s="9"/>
      <c r="L37" s="9"/>
      <c r="M37" s="9"/>
      <c r="N37" s="9"/>
      <c r="O37" s="9"/>
      <c r="P37" s="9"/>
      <c r="Q37" s="9"/>
      <c r="R37" s="9"/>
      <c r="S37" s="9"/>
      <c r="T37" s="9"/>
      <c r="U37" s="9"/>
      <c r="V37" s="9"/>
      <c r="W37" s="9"/>
      <c r="X37" s="9"/>
      <c r="Y37" s="9"/>
      <c r="Z37" s="9"/>
      <c r="AA37" s="9"/>
      <c r="AB37" s="9"/>
    </row>
    <row r="38" spans="2:28" x14ac:dyDescent="0.3">
      <c r="B38" s="9"/>
      <c r="C38" s="9"/>
      <c r="D38" s="9"/>
      <c r="E38" s="9"/>
      <c r="F38" s="9"/>
      <c r="G38" s="9"/>
      <c r="H38" s="9"/>
      <c r="I38" s="9"/>
      <c r="J38" s="9"/>
      <c r="K38" s="9"/>
      <c r="L38" s="9"/>
      <c r="M38" s="9"/>
      <c r="N38" s="9"/>
      <c r="O38" s="9"/>
      <c r="P38" s="9"/>
      <c r="Q38" s="9"/>
      <c r="R38" s="9"/>
      <c r="S38" s="9"/>
      <c r="T38" s="9"/>
      <c r="U38" s="9"/>
      <c r="V38" s="9"/>
      <c r="W38" s="9"/>
      <c r="X38" s="9"/>
      <c r="Y38" s="9"/>
      <c r="Z38" s="9"/>
      <c r="AA38" s="9"/>
      <c r="AB38" s="9"/>
    </row>
    <row r="39" spans="2:28" x14ac:dyDescent="0.3">
      <c r="B39" s="9"/>
      <c r="C39" s="9"/>
      <c r="D39" s="9"/>
      <c r="E39" s="9"/>
      <c r="F39" s="9"/>
      <c r="G39" s="9"/>
      <c r="H39" s="9"/>
      <c r="I39" s="9"/>
      <c r="J39" s="9"/>
      <c r="K39" s="9"/>
      <c r="L39" s="9"/>
      <c r="M39" s="9"/>
      <c r="N39" s="9"/>
      <c r="O39" s="9"/>
      <c r="P39" s="9"/>
      <c r="Q39" s="9"/>
      <c r="R39" s="9"/>
      <c r="S39" s="9"/>
      <c r="T39" s="9"/>
      <c r="U39" s="9"/>
      <c r="V39" s="9"/>
      <c r="W39" s="9"/>
      <c r="X39" s="9"/>
      <c r="Y39" s="9"/>
      <c r="Z39" s="9"/>
      <c r="AA39" s="9"/>
      <c r="AB39" s="9"/>
    </row>
    <row r="40" spans="2:28" x14ac:dyDescent="0.3">
      <c r="B40" s="9"/>
      <c r="C40" s="9"/>
      <c r="D40" s="9"/>
      <c r="E40" s="9"/>
      <c r="F40" s="9"/>
      <c r="G40" s="9"/>
      <c r="H40" s="9"/>
      <c r="I40" s="9"/>
      <c r="J40" s="9"/>
      <c r="K40" s="9"/>
      <c r="L40" s="9"/>
      <c r="M40" s="9"/>
      <c r="N40" s="9"/>
      <c r="O40" s="9"/>
      <c r="P40" s="9"/>
      <c r="Q40" s="9"/>
      <c r="R40" s="9"/>
      <c r="S40" s="9"/>
      <c r="T40" s="9"/>
      <c r="U40" s="9"/>
      <c r="V40" s="9"/>
      <c r="W40" s="9"/>
      <c r="X40" s="9"/>
      <c r="Y40" s="9"/>
      <c r="Z40" s="9"/>
      <c r="AA40" s="9"/>
      <c r="AB40" s="9"/>
    </row>
    <row r="41" spans="2:28" x14ac:dyDescent="0.3">
      <c r="B41" s="9"/>
      <c r="C41" s="9"/>
      <c r="D41" s="9"/>
      <c r="E41" s="9"/>
      <c r="F41" s="9"/>
      <c r="G41" s="9"/>
      <c r="H41" s="9"/>
      <c r="I41" s="9"/>
      <c r="J41" s="9"/>
      <c r="K41" s="9"/>
      <c r="L41" s="9"/>
      <c r="M41" s="9"/>
      <c r="N41" s="9"/>
      <c r="O41" s="9"/>
      <c r="P41" s="9"/>
      <c r="Q41" s="9"/>
      <c r="R41" s="9"/>
      <c r="S41" s="9"/>
      <c r="T41" s="9"/>
      <c r="U41" s="9"/>
      <c r="V41" s="9"/>
      <c r="W41" s="9"/>
      <c r="X41" s="9"/>
      <c r="Y41" s="9"/>
      <c r="Z41" s="9"/>
      <c r="AA41" s="9"/>
      <c r="AB41" s="9"/>
    </row>
  </sheetData>
  <mergeCells count="4">
    <mergeCell ref="I8:J8"/>
    <mergeCell ref="N8:O8"/>
    <mergeCell ref="S8:U8"/>
    <mergeCell ref="X8:Z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4896BA-FA1C-456B-94E1-7CEA490F3D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 Table</vt:lpstr>
      <vt:lpstr>KPI</vt:lpstr>
      <vt:lpstr>Lead Source Analysis</vt:lpstr>
      <vt:lpstr>Salesperson Performance</vt:lpstr>
      <vt:lpstr>Region-wise Performance</vt:lpstr>
      <vt:lpstr>Status Breakdown</vt:lpstr>
      <vt:lpstr>Monthly 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 chaudhari</cp:lastModifiedBy>
  <dcterms:created xsi:type="dcterms:W3CDTF">2026-04-01T17:32:48Z</dcterms:created>
  <dcterms:modified xsi:type="dcterms:W3CDTF">2026-04-06T14:24:37Z</dcterms:modified>
</cp:coreProperties>
</file>